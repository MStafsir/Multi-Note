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75F7F50-46BE-490E-9A92-864EECB9F958}" xr6:coauthVersionLast="47" xr6:coauthVersionMax="47" xr10:uidLastSave="{00000000-0000-0000-0000-000000000000}"/>
  <bookViews>
    <workbookView xWindow="25695" yWindow="0" windowWidth="26010" windowHeight="20985" activeTab="1" xr2:uid="{57B33834-58D6-48AD-BC75-3BA7D2A7E27F}"/>
  </bookViews>
  <sheets>
    <sheet name="SOAL 1" sheetId="2" r:id="rId1"/>
    <sheet name="SOAL 2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D20" i="2"/>
  <c r="C19" i="2"/>
  <c r="D19" i="2"/>
  <c r="G19" i="2"/>
  <c r="H24" i="2" s="1"/>
  <c r="I19" i="2"/>
  <c r="H26" i="2" s="1"/>
  <c r="B20" i="2"/>
  <c r="B19" i="2"/>
  <c r="I5" i="2"/>
  <c r="I6" i="2"/>
  <c r="I7" i="2"/>
  <c r="I8" i="2"/>
  <c r="I20" i="2" s="1"/>
  <c r="I9" i="2"/>
  <c r="I10" i="2"/>
  <c r="I11" i="2"/>
  <c r="I12" i="2"/>
  <c r="I13" i="2"/>
  <c r="I14" i="2"/>
  <c r="I15" i="2"/>
  <c r="I16" i="2"/>
  <c r="I17" i="2"/>
  <c r="I18" i="2"/>
  <c r="H5" i="2"/>
  <c r="H20" i="2" s="1"/>
  <c r="H6" i="2"/>
  <c r="H7" i="2"/>
  <c r="H8" i="2"/>
  <c r="H9" i="2"/>
  <c r="H10" i="2"/>
  <c r="H11" i="2"/>
  <c r="H19" i="2" s="1"/>
  <c r="H25" i="2" s="1"/>
  <c r="H12" i="2"/>
  <c r="H13" i="2"/>
  <c r="H14" i="2"/>
  <c r="H15" i="2"/>
  <c r="H16" i="2"/>
  <c r="H17" i="2"/>
  <c r="H18" i="2"/>
  <c r="G5" i="2"/>
  <c r="G20" i="2" s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F5" i="2"/>
  <c r="F19" i="2" s="1"/>
  <c r="H23" i="2" s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E5" i="2"/>
  <c r="E6" i="2"/>
  <c r="E7" i="2"/>
  <c r="E8" i="2"/>
  <c r="E9" i="2"/>
  <c r="E10" i="2"/>
  <c r="E11" i="2"/>
  <c r="E12" i="2"/>
  <c r="E13" i="2"/>
  <c r="E14" i="2"/>
  <c r="E19" i="2" s="1"/>
  <c r="H22" i="2" s="1"/>
  <c r="E15" i="2"/>
  <c r="E16" i="2"/>
  <c r="E17" i="2"/>
  <c r="E18" i="2"/>
  <c r="I4" i="2"/>
  <c r="H4" i="2"/>
  <c r="G4" i="2"/>
  <c r="F4" i="2"/>
  <c r="F20" i="2" s="1"/>
  <c r="E4" i="2"/>
  <c r="E20" i="2" s="1"/>
  <c r="I72" i="1"/>
  <c r="I71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J5" i="1"/>
  <c r="I5" i="1"/>
  <c r="H5" i="1"/>
  <c r="G5" i="1"/>
  <c r="F6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5" i="1"/>
  <c r="E4" i="1"/>
  <c r="E5" i="1" s="1"/>
  <c r="H28" i="2" l="1"/>
  <c r="H29" i="2" s="1"/>
  <c r="E6" i="1"/>
  <c r="H30" i="2" l="1"/>
  <c r="H31" i="2" s="1"/>
  <c r="H35" i="2" s="1"/>
  <c r="E7" i="1"/>
  <c r="E8" i="1" l="1"/>
  <c r="E9" i="1" l="1"/>
  <c r="E10" i="1" l="1"/>
  <c r="E11" i="1" l="1"/>
  <c r="E12" i="1" l="1"/>
  <c r="E13" i="1" l="1"/>
  <c r="E14" i="1" l="1"/>
  <c r="E15" i="1" l="1"/>
  <c r="E16" i="1" l="1"/>
  <c r="E17" i="1" l="1"/>
  <c r="E18" i="1" l="1"/>
  <c r="E19" i="1" l="1"/>
  <c r="E20" i="1" l="1"/>
  <c r="E21" i="1" l="1"/>
  <c r="E22" i="1" l="1"/>
  <c r="E23" i="1" l="1"/>
  <c r="E24" i="1" l="1"/>
  <c r="E25" i="1" l="1"/>
  <c r="E26" i="1" l="1"/>
  <c r="E27" i="1" l="1"/>
  <c r="E28" i="1" l="1"/>
  <c r="E29" i="1" l="1"/>
  <c r="E30" i="1" l="1"/>
  <c r="E31" i="1" l="1"/>
  <c r="E32" i="1" l="1"/>
  <c r="E33" i="1" l="1"/>
  <c r="E34" i="1" l="1"/>
  <c r="E35" i="1" l="1"/>
  <c r="E36" i="1" l="1"/>
  <c r="E37" i="1" l="1"/>
  <c r="E38" i="1" l="1"/>
  <c r="E39" i="1" l="1"/>
  <c r="E40" i="1" l="1"/>
  <c r="E41" i="1" l="1"/>
  <c r="E42" i="1" l="1"/>
  <c r="E43" i="1" l="1"/>
  <c r="E44" i="1" l="1"/>
  <c r="E45" i="1" l="1"/>
  <c r="E46" i="1" l="1"/>
  <c r="E47" i="1" l="1"/>
  <c r="E48" i="1" l="1"/>
  <c r="E49" i="1" l="1"/>
  <c r="E50" i="1" l="1"/>
  <c r="E51" i="1" l="1"/>
  <c r="E52" i="1" l="1"/>
  <c r="E53" i="1" l="1"/>
  <c r="E54" i="1" l="1"/>
  <c r="E55" i="1" l="1"/>
  <c r="E56" i="1" l="1"/>
  <c r="E57" i="1" l="1"/>
  <c r="E58" i="1" l="1"/>
  <c r="E59" i="1" l="1"/>
  <c r="E60" i="1" l="1"/>
  <c r="E61" i="1" l="1"/>
  <c r="E62" i="1" l="1"/>
  <c r="E63" i="1" l="1"/>
  <c r="F66" i="1" l="1"/>
  <c r="F65" i="1"/>
  <c r="F69" i="1"/>
  <c r="F68" i="1"/>
  <c r="F67" i="1"/>
</calcChain>
</file>

<file path=xl/sharedStrings.xml><?xml version="1.0" encoding="utf-8"?>
<sst xmlns="http://schemas.openxmlformats.org/spreadsheetml/2006/main" count="103" uniqueCount="49">
  <si>
    <t xml:space="preserve">Alpha </t>
  </si>
  <si>
    <t>Tahun</t>
  </si>
  <si>
    <t>Bulan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</si>
  <si>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</si>
  <si>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</si>
  <si>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</si>
  <si>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</si>
  <si>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</si>
  <si>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</si>
  <si>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</si>
  <si>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</si>
  <si>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</si>
  <si>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</si>
  <si>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</si>
  <si>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</si>
  <si>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Aktual (Y)</t>
  </si>
  <si>
    <t>Smoothed(St)</t>
  </si>
  <si>
    <t>Forecast (Ft)</t>
  </si>
  <si>
    <t>-</t>
  </si>
  <si>
    <t>Error €</t>
  </si>
  <si>
    <t>|Error|</t>
  </si>
  <si>
    <t>APE (%)</t>
  </si>
  <si>
    <t>Error^2</t>
  </si>
  <si>
    <t>MAPE =</t>
  </si>
  <si>
    <t xml:space="preserve">MSE = </t>
  </si>
  <si>
    <t>$MAPE = \frac{\sum APE_t}{n} \times 100\%$
(Rata-rata dari kolom persentase absolut error)</t>
  </si>
  <si>
    <r>
      <t>$MSE = \frac{\sum e_t^2}{n}$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rial"/>
        <family val="2"/>
      </rPr>
      <t>(Rata-rata dari kolom Error kuadrat)</t>
    </r>
  </si>
  <si>
    <t>Z</t>
  </si>
  <si>
    <t>X1</t>
  </si>
  <si>
    <t>X2</t>
  </si>
  <si>
    <t>TOTAL (Sigma)</t>
  </si>
  <si>
    <t>RATA-RATA</t>
  </si>
  <si>
    <t>Sum x1^2</t>
  </si>
  <si>
    <t>Sum x2^2</t>
  </si>
  <si>
    <t>Sum x1x2</t>
  </si>
  <si>
    <t>Sum x1z</t>
  </si>
  <si>
    <t>Sum x2z</t>
  </si>
  <si>
    <t>Penyebut</t>
  </si>
  <si>
    <t>b1 (Koef X1)</t>
  </si>
  <si>
    <t>b2 (Koef X2)</t>
  </si>
  <si>
    <t>b0 (Intercept)</t>
  </si>
  <si>
    <t>X1^2</t>
  </si>
  <si>
    <t>X2^2</t>
  </si>
  <si>
    <t>X1*X2</t>
  </si>
  <si>
    <t>X1*Z</t>
  </si>
  <si>
    <t>X2*Z</t>
  </si>
  <si>
    <t>X1 Baru</t>
  </si>
  <si>
    <t>X2 Baru</t>
  </si>
  <si>
    <t>Prediksi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</si>
</sst>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3" borderId="1" xfId="0" applyFont="1" applyFill="1" applyBorder="1"/>
    <xf numFmtId="0" fontId="4" fillId="3" borderId="1" xfId="0" applyFont="1" applyFill="1" applyBorder="1" applyAlignment="1">
      <alignment horizontal="center" vertical="center" wrapText="1" readingOrder="1"/>
    </xf>
    <xf numFmtId="0" fontId="0" fillId="3" borderId="1" xfId="0" applyFont="1" applyFill="1" applyBorder="1" applyAlignment="1">
      <alignment horizontal="center"/>
    </xf>
    <xf numFmtId="0" fontId="1" fillId="3" borderId="3" xfId="0" applyFont="1" applyFill="1" applyBorder="1"/>
    <xf numFmtId="0" fontId="0" fillId="0" borderId="3" xfId="0" applyBorder="1"/>
    <xf numFmtId="0" fontId="1" fillId="3" borderId="4" xfId="0" applyFont="1" applyFill="1" applyBorder="1"/>
    <xf numFmtId="0" fontId="0" fillId="0" borderId="4" xfId="0" applyBorder="1"/>
    <xf numFmtId="0" fontId="1" fillId="4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10601</xdr:colOff>
      <xdr:row>15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30EC82-6560-5346-8A4A-B272D11A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0" y="190500"/>
          <a:ext cx="6106601" cy="274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19</xdr:row>
      <xdr:rowOff>1</xdr:rowOff>
    </xdr:from>
    <xdr:to>
      <xdr:col>20</xdr:col>
      <xdr:colOff>19051</xdr:colOff>
      <xdr:row>39</xdr:row>
      <xdr:rowOff>122251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6148D6-7B16-AAB8-77B8-96A4EA06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1" y="3619501"/>
          <a:ext cx="6115050" cy="39322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20</xdr:col>
      <xdr:colOff>9525</xdr:colOff>
      <xdr:row>56</xdr:row>
      <xdr:rowOff>159755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F60097-F2DE-78C9-715B-8DF114735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29400" y="8382000"/>
          <a:ext cx="6105525" cy="24457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16</xdr:col>
      <xdr:colOff>335757</xdr:colOff>
      <xdr:row>18</xdr:row>
      <xdr:rowOff>124188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5BEEDB-ED57-B0E2-58B9-90CE49FF5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0143" y="952500"/>
          <a:ext cx="7316221" cy="260068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16</xdr:col>
      <xdr:colOff>402441</xdr:colOff>
      <xdr:row>43</xdr:row>
      <xdr:rowOff>48243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AE441C-39CE-2C55-B8E7-45D0696FF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0143" y="3810000"/>
          <a:ext cx="7382905" cy="442974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16</xdr:col>
      <xdr:colOff>354810</xdr:colOff>
      <xdr:row>63</xdr:row>
      <xdr:rowOff>133874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FA99BF7-E16B-DB6F-2639-492F5BCC9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0143" y="8382000"/>
          <a:ext cx="7335274" cy="3753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DB2C-7FFF-4C41-B9EA-4564E739EB40}">
  <dimension ref="A3:I35"/>
  <sheetViews>
    <sheetView topLeftCell="A7" workbookViewId="0">
      <selection activeCell="F35" sqref="F35"/>
    </sheetView>
  </sheetViews>
  <sheetFormatPr defaultRowHeight="15" x14ac:dyDescent="0.25"/>
  <cols>
    <col min="1" max="1" width="13.28515625" customWidth="1"/>
    <col min="7" max="7" width="13" customWidth="1"/>
  </cols>
  <sheetData>
    <row r="3" spans="2:9" x14ac:dyDescent="0.25">
      <c r="B3" s="15" t="s">
        <v>27</v>
      </c>
      <c r="C3" s="15" t="s">
        <v>28</v>
      </c>
      <c r="D3" s="15" t="s">
        <v>29</v>
      </c>
      <c r="E3" s="16" t="s">
        <v>41</v>
      </c>
      <c r="F3" s="16" t="s">
        <v>42</v>
      </c>
      <c r="G3" s="16" t="s">
        <v>43</v>
      </c>
      <c r="H3" s="16" t="s">
        <v>44</v>
      </c>
      <c r="I3" s="16" t="s">
        <v>45</v>
      </c>
    </row>
    <row r="4" spans="2:9" x14ac:dyDescent="0.25">
      <c r="B4" s="11">
        <v>14.8</v>
      </c>
      <c r="C4" s="11">
        <v>11.5</v>
      </c>
      <c r="D4" s="11">
        <v>6.3</v>
      </c>
      <c r="E4" s="12">
        <f>C4^2</f>
        <v>132.25</v>
      </c>
      <c r="F4" s="12">
        <f>D4^2</f>
        <v>39.69</v>
      </c>
      <c r="G4" s="12">
        <f>C4*D4</f>
        <v>72.45</v>
      </c>
      <c r="H4" s="12">
        <f>C4*B4</f>
        <v>170.20000000000002</v>
      </c>
      <c r="I4" s="12">
        <f>D4*B4</f>
        <v>93.24</v>
      </c>
    </row>
    <row r="5" spans="2:9" x14ac:dyDescent="0.25">
      <c r="B5" s="11">
        <v>12.1</v>
      </c>
      <c r="C5" s="11">
        <v>14.3</v>
      </c>
      <c r="D5" s="11">
        <v>7.4</v>
      </c>
      <c r="E5" s="12">
        <f t="shared" ref="E5:E18" si="0">C5^2</f>
        <v>204.49</v>
      </c>
      <c r="F5" s="12">
        <f t="shared" ref="F5:F18" si="1">D5^2</f>
        <v>54.760000000000005</v>
      </c>
      <c r="G5" s="12">
        <f t="shared" ref="G5:G18" si="2">C5*D5</f>
        <v>105.82000000000001</v>
      </c>
      <c r="H5" s="12">
        <f t="shared" ref="H5:H18" si="3">C5*B5</f>
        <v>173.03</v>
      </c>
      <c r="I5" s="12">
        <f t="shared" ref="I5:I18" si="4">D5*B5</f>
        <v>89.54</v>
      </c>
    </row>
    <row r="6" spans="2:9" x14ac:dyDescent="0.25">
      <c r="B6" s="11">
        <v>19</v>
      </c>
      <c r="C6" s="11">
        <v>9.4</v>
      </c>
      <c r="D6" s="11">
        <v>5.9</v>
      </c>
      <c r="E6" s="12">
        <f t="shared" si="0"/>
        <v>88.360000000000014</v>
      </c>
      <c r="F6" s="12">
        <f t="shared" si="1"/>
        <v>34.81</v>
      </c>
      <c r="G6" s="12">
        <f t="shared" si="2"/>
        <v>55.460000000000008</v>
      </c>
      <c r="H6" s="12">
        <f t="shared" si="3"/>
        <v>178.6</v>
      </c>
      <c r="I6" s="12">
        <f t="shared" si="4"/>
        <v>112.10000000000001</v>
      </c>
    </row>
    <row r="7" spans="2:9" x14ac:dyDescent="0.25">
      <c r="B7" s="11">
        <v>14.5</v>
      </c>
      <c r="C7" s="11">
        <v>15.2</v>
      </c>
      <c r="D7" s="11">
        <v>8.6999999999999993</v>
      </c>
      <c r="E7" s="12">
        <f t="shared" si="0"/>
        <v>231.04</v>
      </c>
      <c r="F7" s="12">
        <f t="shared" si="1"/>
        <v>75.689999999999984</v>
      </c>
      <c r="G7" s="12">
        <f t="shared" si="2"/>
        <v>132.23999999999998</v>
      </c>
      <c r="H7" s="12">
        <f t="shared" si="3"/>
        <v>220.39999999999998</v>
      </c>
      <c r="I7" s="12">
        <f t="shared" si="4"/>
        <v>126.14999999999999</v>
      </c>
    </row>
    <row r="8" spans="2:9" x14ac:dyDescent="0.25">
      <c r="B8" s="11">
        <v>16.600000000000001</v>
      </c>
      <c r="C8" s="11">
        <v>8.8000000000000007</v>
      </c>
      <c r="D8" s="11">
        <v>9.1</v>
      </c>
      <c r="E8" s="12">
        <f t="shared" si="0"/>
        <v>77.440000000000012</v>
      </c>
      <c r="F8" s="12">
        <f t="shared" si="1"/>
        <v>82.809999999999988</v>
      </c>
      <c r="G8" s="12">
        <f t="shared" si="2"/>
        <v>80.08</v>
      </c>
      <c r="H8" s="12">
        <f t="shared" si="3"/>
        <v>146.08000000000001</v>
      </c>
      <c r="I8" s="12">
        <f t="shared" si="4"/>
        <v>151.06</v>
      </c>
    </row>
    <row r="9" spans="2:9" x14ac:dyDescent="0.25">
      <c r="B9" s="11">
        <v>17.2</v>
      </c>
      <c r="C9" s="11">
        <v>9.8000000000000007</v>
      </c>
      <c r="D9" s="11">
        <v>5.6</v>
      </c>
      <c r="E9" s="12">
        <f t="shared" si="0"/>
        <v>96.04000000000002</v>
      </c>
      <c r="F9" s="12">
        <f t="shared" si="1"/>
        <v>31.359999999999996</v>
      </c>
      <c r="G9" s="12">
        <f t="shared" si="2"/>
        <v>54.88</v>
      </c>
      <c r="H9" s="12">
        <f t="shared" si="3"/>
        <v>168.56</v>
      </c>
      <c r="I9" s="12">
        <f t="shared" si="4"/>
        <v>96.32</v>
      </c>
    </row>
    <row r="10" spans="2:9" x14ac:dyDescent="0.25">
      <c r="B10" s="11">
        <v>17.5</v>
      </c>
      <c r="C10" s="11">
        <v>11.2</v>
      </c>
      <c r="D10" s="11">
        <v>6.8</v>
      </c>
      <c r="E10" s="12">
        <f t="shared" si="0"/>
        <v>125.43999999999998</v>
      </c>
      <c r="F10" s="12">
        <f t="shared" si="1"/>
        <v>46.239999999999995</v>
      </c>
      <c r="G10" s="12">
        <f t="shared" si="2"/>
        <v>76.16</v>
      </c>
      <c r="H10" s="12">
        <f t="shared" si="3"/>
        <v>196</v>
      </c>
      <c r="I10" s="12">
        <f t="shared" si="4"/>
        <v>119</v>
      </c>
    </row>
    <row r="11" spans="2:9" x14ac:dyDescent="0.25">
      <c r="B11" s="11">
        <v>14.1</v>
      </c>
      <c r="C11" s="11">
        <v>10.9</v>
      </c>
      <c r="D11" s="11">
        <v>7.4</v>
      </c>
      <c r="E11" s="12">
        <f t="shared" si="0"/>
        <v>118.81</v>
      </c>
      <c r="F11" s="12">
        <f t="shared" si="1"/>
        <v>54.760000000000005</v>
      </c>
      <c r="G11" s="12">
        <f t="shared" si="2"/>
        <v>80.660000000000011</v>
      </c>
      <c r="H11" s="12">
        <f t="shared" si="3"/>
        <v>153.69</v>
      </c>
      <c r="I11" s="12">
        <f t="shared" si="4"/>
        <v>104.34</v>
      </c>
    </row>
    <row r="12" spans="2:9" x14ac:dyDescent="0.25">
      <c r="B12" s="11">
        <v>13.8</v>
      </c>
      <c r="C12" s="11">
        <v>14.7</v>
      </c>
      <c r="D12" s="11">
        <v>8.1999999999999993</v>
      </c>
      <c r="E12" s="12">
        <f t="shared" si="0"/>
        <v>216.08999999999997</v>
      </c>
      <c r="F12" s="12">
        <f t="shared" si="1"/>
        <v>67.239999999999995</v>
      </c>
      <c r="G12" s="12">
        <f t="shared" si="2"/>
        <v>120.53999999999998</v>
      </c>
      <c r="H12" s="12">
        <f t="shared" si="3"/>
        <v>202.86</v>
      </c>
      <c r="I12" s="12">
        <f t="shared" si="4"/>
        <v>113.16</v>
      </c>
    </row>
    <row r="13" spans="2:9" x14ac:dyDescent="0.25">
      <c r="B13" s="11">
        <v>14.7</v>
      </c>
      <c r="C13" s="11">
        <v>15.1</v>
      </c>
      <c r="D13" s="11">
        <v>9.1999999999999993</v>
      </c>
      <c r="E13" s="12">
        <f t="shared" si="0"/>
        <v>228.01</v>
      </c>
      <c r="F13" s="12">
        <f t="shared" si="1"/>
        <v>84.639999999999986</v>
      </c>
      <c r="G13" s="12">
        <f t="shared" si="2"/>
        <v>138.91999999999999</v>
      </c>
      <c r="H13" s="12">
        <f t="shared" si="3"/>
        <v>221.96999999999997</v>
      </c>
      <c r="I13" s="12">
        <f t="shared" si="4"/>
        <v>135.23999999999998</v>
      </c>
    </row>
    <row r="14" spans="2:9" x14ac:dyDescent="0.25">
      <c r="B14" s="11">
        <v>17.7</v>
      </c>
      <c r="C14" s="11">
        <v>8.6999999999999993</v>
      </c>
      <c r="D14" s="11">
        <v>4.7</v>
      </c>
      <c r="E14" s="12">
        <f t="shared" si="0"/>
        <v>75.689999999999984</v>
      </c>
      <c r="F14" s="12">
        <f t="shared" si="1"/>
        <v>22.090000000000003</v>
      </c>
      <c r="G14" s="12">
        <f t="shared" si="2"/>
        <v>40.89</v>
      </c>
      <c r="H14" s="12">
        <f t="shared" si="3"/>
        <v>153.98999999999998</v>
      </c>
      <c r="I14" s="12">
        <f t="shared" si="4"/>
        <v>83.19</v>
      </c>
    </row>
    <row r="15" spans="2:9" x14ac:dyDescent="0.25">
      <c r="B15" s="11">
        <v>17</v>
      </c>
      <c r="C15" s="11">
        <v>8.6</v>
      </c>
      <c r="D15" s="11">
        <v>5.5</v>
      </c>
      <c r="E15" s="12">
        <f t="shared" si="0"/>
        <v>73.959999999999994</v>
      </c>
      <c r="F15" s="12">
        <f t="shared" si="1"/>
        <v>30.25</v>
      </c>
      <c r="G15" s="12">
        <f t="shared" si="2"/>
        <v>47.3</v>
      </c>
      <c r="H15" s="12">
        <f t="shared" si="3"/>
        <v>146.19999999999999</v>
      </c>
      <c r="I15" s="12">
        <f t="shared" si="4"/>
        <v>93.5</v>
      </c>
    </row>
    <row r="16" spans="2:9" x14ac:dyDescent="0.25">
      <c r="B16" s="11">
        <v>17.600000000000001</v>
      </c>
      <c r="C16" s="11">
        <v>9.3000000000000007</v>
      </c>
      <c r="D16" s="11">
        <v>6.6</v>
      </c>
      <c r="E16" s="12">
        <f t="shared" si="0"/>
        <v>86.490000000000009</v>
      </c>
      <c r="F16" s="12">
        <f t="shared" si="1"/>
        <v>43.559999999999995</v>
      </c>
      <c r="G16" s="12">
        <f t="shared" si="2"/>
        <v>61.38</v>
      </c>
      <c r="H16" s="12">
        <f t="shared" si="3"/>
        <v>163.68000000000004</v>
      </c>
      <c r="I16" s="12">
        <f t="shared" si="4"/>
        <v>116.16</v>
      </c>
    </row>
    <row r="17" spans="1:9" x14ac:dyDescent="0.25">
      <c r="B17" s="11">
        <v>16.3</v>
      </c>
      <c r="C17" s="11">
        <v>10.8</v>
      </c>
      <c r="D17" s="11">
        <v>8.6999999999999993</v>
      </c>
      <c r="E17" s="12">
        <f t="shared" si="0"/>
        <v>116.64000000000001</v>
      </c>
      <c r="F17" s="12">
        <f t="shared" si="1"/>
        <v>75.689999999999984</v>
      </c>
      <c r="G17" s="12">
        <f t="shared" si="2"/>
        <v>93.96</v>
      </c>
      <c r="H17" s="12">
        <f t="shared" si="3"/>
        <v>176.04000000000002</v>
      </c>
      <c r="I17" s="12">
        <f t="shared" si="4"/>
        <v>141.81</v>
      </c>
    </row>
    <row r="18" spans="1:9" x14ac:dyDescent="0.25">
      <c r="B18" s="11">
        <v>18.2</v>
      </c>
      <c r="C18" s="11">
        <v>11.9</v>
      </c>
      <c r="D18" s="11">
        <v>5.4</v>
      </c>
      <c r="E18" s="12">
        <f t="shared" si="0"/>
        <v>141.61000000000001</v>
      </c>
      <c r="F18" s="12">
        <f t="shared" si="1"/>
        <v>29.160000000000004</v>
      </c>
      <c r="G18" s="12">
        <f t="shared" si="2"/>
        <v>64.260000000000005</v>
      </c>
      <c r="H18" s="12">
        <f t="shared" si="3"/>
        <v>216.57999999999998</v>
      </c>
      <c r="I18" s="12">
        <f t="shared" si="4"/>
        <v>98.28</v>
      </c>
    </row>
    <row r="19" spans="1:9" x14ac:dyDescent="0.25">
      <c r="A19" s="14" t="s">
        <v>30</v>
      </c>
      <c r="B19" s="13">
        <f>SUM(B4:B18)</f>
        <v>241.09999999999997</v>
      </c>
      <c r="C19" s="12">
        <f t="shared" ref="C19:I19" si="5">SUM(C4:C18)</f>
        <v>170.20000000000002</v>
      </c>
      <c r="D19" s="12">
        <f t="shared" si="5"/>
        <v>105.5</v>
      </c>
      <c r="E19" s="12">
        <f t="shared" si="5"/>
        <v>2012.3600000000001</v>
      </c>
      <c r="F19" s="12">
        <f t="shared" si="5"/>
        <v>772.74999999999989</v>
      </c>
      <c r="G19" s="12">
        <f t="shared" si="5"/>
        <v>1225</v>
      </c>
      <c r="H19" s="12">
        <f t="shared" si="5"/>
        <v>2687.8799999999997</v>
      </c>
      <c r="I19" s="12">
        <f t="shared" si="5"/>
        <v>1673.09</v>
      </c>
    </row>
    <row r="20" spans="1:9" x14ac:dyDescent="0.25">
      <c r="A20" s="14" t="s">
        <v>31</v>
      </c>
      <c r="B20" s="10">
        <f>AVERAGE(B4:B18)</f>
        <v>16.073333333333331</v>
      </c>
      <c r="C20" s="10">
        <f t="shared" ref="C20:I20" si="6">AVERAGE(C4:C18)</f>
        <v>11.346666666666668</v>
      </c>
      <c r="D20" s="10">
        <f t="shared" si="6"/>
        <v>7.0333333333333332</v>
      </c>
      <c r="E20" s="10">
        <f t="shared" si="6"/>
        <v>134.15733333333336</v>
      </c>
      <c r="F20" s="10">
        <f t="shared" si="6"/>
        <v>51.516666666666659</v>
      </c>
      <c r="G20" s="10">
        <f t="shared" si="6"/>
        <v>81.666666666666671</v>
      </c>
      <c r="H20" s="10">
        <f t="shared" si="6"/>
        <v>179.19199999999998</v>
      </c>
      <c r="I20" s="10">
        <f t="shared" si="6"/>
        <v>111.53933333333333</v>
      </c>
    </row>
    <row r="22" spans="1:9" x14ac:dyDescent="0.25">
      <c r="G22" s="14" t="s">
        <v>32</v>
      </c>
      <c r="H22" s="10">
        <f>E19 - (C19^2)/15</f>
        <v>81.157333333333099</v>
      </c>
    </row>
    <row r="23" spans="1:9" x14ac:dyDescent="0.25">
      <c r="G23" s="14" t="s">
        <v>33</v>
      </c>
      <c r="H23" s="10">
        <f>F19 - (D19^2)/15</f>
        <v>30.733333333333235</v>
      </c>
    </row>
    <row r="24" spans="1:9" x14ac:dyDescent="0.25">
      <c r="G24" s="14" t="s">
        <v>34</v>
      </c>
      <c r="H24" s="10">
        <f>G19 - (C19*D19)/15</f>
        <v>27.926666666666506</v>
      </c>
    </row>
    <row r="25" spans="1:9" x14ac:dyDescent="0.25">
      <c r="G25" s="14" t="s">
        <v>35</v>
      </c>
      <c r="H25" s="10">
        <f>H19 - (C19*B19)/15</f>
        <v>-47.801333333333787</v>
      </c>
    </row>
    <row r="26" spans="1:9" x14ac:dyDescent="0.25">
      <c r="G26" s="17" t="s">
        <v>36</v>
      </c>
      <c r="H26" s="18">
        <f>I19 - (D19*B19)/15</f>
        <v>-22.646666666666533</v>
      </c>
    </row>
    <row r="27" spans="1:9" x14ac:dyDescent="0.25">
      <c r="G27" s="21"/>
      <c r="H27" s="22"/>
    </row>
    <row r="28" spans="1:9" x14ac:dyDescent="0.25">
      <c r="G28" s="19" t="s">
        <v>37</v>
      </c>
      <c r="H28" s="20">
        <f>(H22*H23) - (H24^2)</f>
        <v>1714.3366666666604</v>
      </c>
    </row>
    <row r="29" spans="1:9" x14ac:dyDescent="0.25">
      <c r="G29" s="14" t="s">
        <v>38</v>
      </c>
      <c r="H29" s="10">
        <f>((H23*H25) - (H24*H26)) / H28</f>
        <v>-0.48803039465217035</v>
      </c>
    </row>
    <row r="30" spans="1:9" x14ac:dyDescent="0.25">
      <c r="G30" s="14" t="s">
        <v>39</v>
      </c>
      <c r="H30" s="10">
        <f>((H22*H26) - (H24*H25)) / H28</f>
        <v>-0.29341446351454548</v>
      </c>
    </row>
    <row r="31" spans="1:9" x14ac:dyDescent="0.25">
      <c r="G31" s="14" t="s">
        <v>40</v>
      </c>
      <c r="H31" s="10">
        <f>B20 - (H29*C20) - (H30*D20)</f>
        <v>23.674533271372258</v>
      </c>
    </row>
    <row r="33" spans="7:8" x14ac:dyDescent="0.25">
      <c r="G33" s="14" t="s">
        <v>46</v>
      </c>
      <c r="H33" s="10">
        <v>10.3</v>
      </c>
    </row>
    <row r="34" spans="7:8" x14ac:dyDescent="0.25">
      <c r="G34" s="14" t="s">
        <v>47</v>
      </c>
      <c r="H34" s="10">
        <v>5.8</v>
      </c>
    </row>
    <row r="35" spans="7:8" x14ac:dyDescent="0.25">
      <c r="G35" s="14" t="s">
        <v>48</v>
      </c>
      <c r="H35" s="10">
        <f>H31 + (H29*H33) + (H30*H34)</f>
        <v>16.946016318070537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A1BF-6B82-4F4B-8A87-93A084196E9D}">
  <dimension ref="A1:L74"/>
  <sheetViews>
    <sheetView tabSelected="1" zoomScale="70" zoomScaleNormal="70" workbookViewId="0">
      <selection activeCell="T32" sqref="T32"/>
    </sheetView>
  </sheetViews>
  <sheetFormatPr defaultRowHeight="15" x14ac:dyDescent="0.25"/>
  <cols>
    <col min="5" max="5" width="12.5703125" customWidth="1"/>
    <col min="6" max="6" width="11.7109375" customWidth="1"/>
    <col min="12" max="12" width="68" customWidth="1"/>
  </cols>
  <sheetData>
    <row r="1" spans="1:12" x14ac:dyDescent="0.25">
      <c r="A1" s="1"/>
      <c r="B1" s="7" t="s">
        <v>0</v>
      </c>
      <c r="C1" s="7">
        <v>0.36</v>
      </c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5" t="s">
        <v>26</v>
      </c>
    </row>
    <row r="3" spans="1:12" ht="15" customHeight="1" x14ac:dyDescent="0.25">
      <c r="A3" s="1"/>
      <c r="B3" s="2" t="s">
        <v>1</v>
      </c>
      <c r="C3" s="2" t="s">
        <v>2</v>
      </c>
      <c r="D3" s="2" t="s">
        <v>15</v>
      </c>
      <c r="E3" s="2" t="s">
        <v>16</v>
      </c>
      <c r="F3" s="2" t="s">
        <v>17</v>
      </c>
      <c r="G3" s="2" t="s">
        <v>19</v>
      </c>
      <c r="H3" s="2" t="s">
        <v>20</v>
      </c>
      <c r="I3" s="2" t="s">
        <v>22</v>
      </c>
      <c r="J3" s="2" t="s">
        <v>21</v>
      </c>
      <c r="K3" s="1"/>
      <c r="L3" s="8" t="s">
        <v>25</v>
      </c>
    </row>
    <row r="4" spans="1:12" x14ac:dyDescent="0.25">
      <c r="A4" s="1"/>
      <c r="B4" s="3">
        <v>2021</v>
      </c>
      <c r="C4" s="3" t="s">
        <v>3</v>
      </c>
      <c r="D4" s="3">
        <v>499.35</v>
      </c>
      <c r="E4" s="3">
        <f>D4</f>
        <v>499.35</v>
      </c>
      <c r="F4" s="3" t="s">
        <v>18</v>
      </c>
      <c r="G4" s="3"/>
      <c r="H4" s="3"/>
      <c r="I4" s="3"/>
      <c r="J4" s="3"/>
      <c r="K4" s="1"/>
      <c r="L4" s="1"/>
    </row>
    <row r="5" spans="1:12" x14ac:dyDescent="0.25">
      <c r="A5" s="1"/>
      <c r="B5" s="3">
        <v>2021</v>
      </c>
      <c r="C5" s="3" t="s">
        <v>4</v>
      </c>
      <c r="D5" s="3">
        <v>396.26</v>
      </c>
      <c r="E5" s="3">
        <f>$C$1*D5+(1-$C$1)*E4</f>
        <v>462.23759999999999</v>
      </c>
      <c r="F5" s="3">
        <f>E4</f>
        <v>499.35</v>
      </c>
      <c r="G5" s="3">
        <f>D5-F5</f>
        <v>-103.09000000000003</v>
      </c>
      <c r="H5" s="3">
        <f>ABS(G5)</f>
        <v>103.09000000000003</v>
      </c>
      <c r="I5" s="3">
        <f>G5^2</f>
        <v>10627.548100000007</v>
      </c>
      <c r="J5" s="3">
        <f>H5/D5</f>
        <v>0.26015747236662806</v>
      </c>
      <c r="K5" s="1"/>
      <c r="L5" s="1"/>
    </row>
    <row r="6" spans="1:12" x14ac:dyDescent="0.25">
      <c r="A6" s="1"/>
      <c r="B6" s="3">
        <v>2021</v>
      </c>
      <c r="C6" s="3" t="s">
        <v>5</v>
      </c>
      <c r="D6" s="3">
        <v>523.87</v>
      </c>
      <c r="E6" s="3">
        <f t="shared" ref="E6:E63" si="0">$C$1*D6+(1-$C$1)*E5</f>
        <v>484.42526399999997</v>
      </c>
      <c r="F6" s="3">
        <f t="shared" ref="F6:F63" si="1">E5</f>
        <v>462.23759999999999</v>
      </c>
      <c r="G6" s="3">
        <f t="shared" ref="G6:G63" si="2">D6-F6</f>
        <v>61.632400000000018</v>
      </c>
      <c r="H6" s="3">
        <f t="shared" ref="H6:H63" si="3">ABS(G6)</f>
        <v>61.632400000000018</v>
      </c>
      <c r="I6" s="3">
        <f t="shared" ref="I6:I63" si="4">G6^2</f>
        <v>3798.5527297600024</v>
      </c>
      <c r="J6" s="3">
        <f t="shared" ref="J6:J63" si="5">H6/D6</f>
        <v>0.11764827151774299</v>
      </c>
      <c r="K6" s="1"/>
      <c r="L6" s="1"/>
    </row>
    <row r="7" spans="1:12" x14ac:dyDescent="0.25">
      <c r="A7" s="1"/>
      <c r="B7" s="3">
        <v>2021</v>
      </c>
      <c r="C7" s="3" t="s">
        <v>6</v>
      </c>
      <c r="D7" s="3">
        <v>559.52</v>
      </c>
      <c r="E7" s="3">
        <f t="shared" si="0"/>
        <v>511.45936896000001</v>
      </c>
      <c r="F7" s="3">
        <f t="shared" si="1"/>
        <v>484.42526399999997</v>
      </c>
      <c r="G7" s="3">
        <f t="shared" si="2"/>
        <v>75.094736000000012</v>
      </c>
      <c r="H7" s="3">
        <f t="shared" si="3"/>
        <v>75.094736000000012</v>
      </c>
      <c r="I7" s="3">
        <f t="shared" si="4"/>
        <v>5639.2193749096978</v>
      </c>
      <c r="J7" s="3">
        <f t="shared" si="5"/>
        <v>0.13421278238490136</v>
      </c>
      <c r="K7" s="1"/>
      <c r="L7" s="1"/>
    </row>
    <row r="8" spans="1:12" x14ac:dyDescent="0.25">
      <c r="A8" s="1"/>
      <c r="B8" s="3">
        <v>2021</v>
      </c>
      <c r="C8" s="3" t="s">
        <v>7</v>
      </c>
      <c r="D8" s="3">
        <v>578.45000000000005</v>
      </c>
      <c r="E8" s="3">
        <f t="shared" si="0"/>
        <v>535.57599613440004</v>
      </c>
      <c r="F8" s="3">
        <f t="shared" si="1"/>
        <v>511.45936896000001</v>
      </c>
      <c r="G8" s="3">
        <f t="shared" si="2"/>
        <v>66.990631040000039</v>
      </c>
      <c r="H8" s="3">
        <f t="shared" si="3"/>
        <v>66.990631040000039</v>
      </c>
      <c r="I8" s="3">
        <f t="shared" si="4"/>
        <v>4487.7446471374169</v>
      </c>
      <c r="J8" s="3">
        <f t="shared" si="5"/>
        <v>0.11581058179617951</v>
      </c>
      <c r="K8" s="1"/>
      <c r="L8" s="1"/>
    </row>
    <row r="9" spans="1:12" x14ac:dyDescent="0.25">
      <c r="A9" s="1"/>
      <c r="B9" s="3">
        <v>2021</v>
      </c>
      <c r="C9" s="3" t="s">
        <v>8</v>
      </c>
      <c r="D9" s="3">
        <v>602.44000000000005</v>
      </c>
      <c r="E9" s="3">
        <f t="shared" si="0"/>
        <v>559.64703752601599</v>
      </c>
      <c r="F9" s="3">
        <f t="shared" si="1"/>
        <v>535.57599613440004</v>
      </c>
      <c r="G9" s="3">
        <f t="shared" si="2"/>
        <v>66.864003865600012</v>
      </c>
      <c r="H9" s="3">
        <f t="shared" si="3"/>
        <v>66.864003865600012</v>
      </c>
      <c r="I9" s="3">
        <f t="shared" si="4"/>
        <v>4470.7950129389728</v>
      </c>
      <c r="J9" s="3">
        <f t="shared" si="5"/>
        <v>0.11098865258880554</v>
      </c>
      <c r="K9" s="1"/>
      <c r="L9" s="1"/>
    </row>
    <row r="10" spans="1:12" x14ac:dyDescent="0.25">
      <c r="A10" s="1"/>
      <c r="B10" s="3">
        <v>2021</v>
      </c>
      <c r="C10" s="3" t="s">
        <v>9</v>
      </c>
      <c r="D10" s="3">
        <v>514.99</v>
      </c>
      <c r="E10" s="3">
        <f t="shared" si="0"/>
        <v>543.57050401665026</v>
      </c>
      <c r="F10" s="3">
        <f t="shared" si="1"/>
        <v>559.64703752601599</v>
      </c>
      <c r="G10" s="3">
        <f t="shared" si="2"/>
        <v>-44.657037526015984</v>
      </c>
      <c r="H10" s="3">
        <f t="shared" si="3"/>
        <v>44.657037526015984</v>
      </c>
      <c r="I10" s="3">
        <f t="shared" si="4"/>
        <v>1994.2510005999998</v>
      </c>
      <c r="J10" s="3">
        <f t="shared" si="5"/>
        <v>8.6714377999603839E-2</v>
      </c>
      <c r="K10" s="1"/>
      <c r="L10" s="1"/>
    </row>
    <row r="11" spans="1:12" x14ac:dyDescent="0.25">
      <c r="A11" s="1"/>
      <c r="B11" s="3">
        <v>2021</v>
      </c>
      <c r="C11" s="3" t="s">
        <v>10</v>
      </c>
      <c r="D11" s="3">
        <v>544.99</v>
      </c>
      <c r="E11" s="3">
        <f t="shared" si="0"/>
        <v>544.08152257065615</v>
      </c>
      <c r="F11" s="3">
        <f t="shared" si="1"/>
        <v>543.57050401665026</v>
      </c>
      <c r="G11" s="3">
        <f t="shared" si="2"/>
        <v>1.4194959833497478</v>
      </c>
      <c r="H11" s="3">
        <f t="shared" si="3"/>
        <v>1.4194959833497478</v>
      </c>
      <c r="I11" s="3">
        <f t="shared" si="4"/>
        <v>2.0149688467460676</v>
      </c>
      <c r="J11" s="3">
        <f t="shared" si="5"/>
        <v>2.6046275772945333E-3</v>
      </c>
      <c r="K11" s="1"/>
      <c r="L11" s="1"/>
    </row>
    <row r="12" spans="1:12" x14ac:dyDescent="0.25">
      <c r="A12" s="1"/>
      <c r="B12" s="3">
        <v>2021</v>
      </c>
      <c r="C12" s="3" t="s">
        <v>11</v>
      </c>
      <c r="D12" s="3">
        <v>590.25</v>
      </c>
      <c r="E12" s="3">
        <f t="shared" si="0"/>
        <v>560.70217444521995</v>
      </c>
      <c r="F12" s="3">
        <f t="shared" si="1"/>
        <v>544.08152257065615</v>
      </c>
      <c r="G12" s="3">
        <f t="shared" si="2"/>
        <v>46.168477429343852</v>
      </c>
      <c r="H12" s="3">
        <f t="shared" si="3"/>
        <v>46.168477429343852</v>
      </c>
      <c r="I12" s="3">
        <f t="shared" si="4"/>
        <v>2131.5283081438329</v>
      </c>
      <c r="J12" s="3">
        <f t="shared" si="5"/>
        <v>7.8218513222098857E-2</v>
      </c>
      <c r="K12" s="1"/>
      <c r="L12" s="1"/>
    </row>
    <row r="13" spans="1:12" x14ac:dyDescent="0.25">
      <c r="A13" s="1"/>
      <c r="B13" s="3">
        <v>2021</v>
      </c>
      <c r="C13" s="3" t="s">
        <v>12</v>
      </c>
      <c r="D13" s="3">
        <v>636.01</v>
      </c>
      <c r="E13" s="3">
        <f t="shared" si="0"/>
        <v>587.81299164494078</v>
      </c>
      <c r="F13" s="3">
        <f t="shared" si="1"/>
        <v>560.70217444521995</v>
      </c>
      <c r="G13" s="3">
        <f t="shared" si="2"/>
        <v>75.307825554780038</v>
      </c>
      <c r="H13" s="3">
        <f t="shared" si="3"/>
        <v>75.307825554780038</v>
      </c>
      <c r="I13" s="3">
        <f t="shared" si="4"/>
        <v>5671.2685897891815</v>
      </c>
      <c r="J13" s="3">
        <f t="shared" si="5"/>
        <v>0.11840666900643078</v>
      </c>
      <c r="K13" s="1"/>
      <c r="L13" s="1"/>
    </row>
    <row r="14" spans="1:12" x14ac:dyDescent="0.25">
      <c r="A14" s="1"/>
      <c r="B14" s="3">
        <v>2021</v>
      </c>
      <c r="C14" s="3" t="s">
        <v>13</v>
      </c>
      <c r="D14" s="3">
        <v>694.34</v>
      </c>
      <c r="E14" s="3">
        <f t="shared" si="0"/>
        <v>626.16271465276213</v>
      </c>
      <c r="F14" s="3">
        <f t="shared" si="1"/>
        <v>587.81299164494078</v>
      </c>
      <c r="G14" s="3">
        <f t="shared" si="2"/>
        <v>106.52700835505925</v>
      </c>
      <c r="H14" s="3">
        <f t="shared" si="3"/>
        <v>106.52700835505925</v>
      </c>
      <c r="I14" s="3">
        <f t="shared" si="4"/>
        <v>11348.003509078864</v>
      </c>
      <c r="J14" s="3">
        <f t="shared" si="5"/>
        <v>0.15342196669507627</v>
      </c>
      <c r="K14" s="1"/>
      <c r="L14" s="1"/>
    </row>
    <row r="15" spans="1:12" x14ac:dyDescent="0.25">
      <c r="A15" s="1"/>
      <c r="B15" s="3">
        <v>2021</v>
      </c>
      <c r="C15" s="3" t="s">
        <v>14</v>
      </c>
      <c r="D15" s="3">
        <v>813.93</v>
      </c>
      <c r="E15" s="3">
        <f t="shared" si="0"/>
        <v>693.75893737776778</v>
      </c>
      <c r="F15" s="3">
        <f t="shared" si="1"/>
        <v>626.16271465276213</v>
      </c>
      <c r="G15" s="3">
        <f t="shared" si="2"/>
        <v>187.76728534723782</v>
      </c>
      <c r="H15" s="3">
        <f t="shared" si="3"/>
        <v>187.76728534723782</v>
      </c>
      <c r="I15" s="3">
        <f t="shared" si="4"/>
        <v>35256.553446671031</v>
      </c>
      <c r="J15" s="3">
        <f t="shared" si="5"/>
        <v>0.23069217911520379</v>
      </c>
      <c r="K15" s="1"/>
      <c r="L15" s="1"/>
    </row>
    <row r="16" spans="1:12" x14ac:dyDescent="0.25">
      <c r="A16" s="1"/>
      <c r="B16" s="3">
        <v>2022</v>
      </c>
      <c r="C16" s="3" t="s">
        <v>3</v>
      </c>
      <c r="D16" s="3">
        <v>521.22</v>
      </c>
      <c r="E16" s="3">
        <f t="shared" si="0"/>
        <v>631.64491992177136</v>
      </c>
      <c r="F16" s="3">
        <f t="shared" si="1"/>
        <v>693.75893737776778</v>
      </c>
      <c r="G16" s="3">
        <f t="shared" si="2"/>
        <v>-172.53893737776775</v>
      </c>
      <c r="H16" s="3">
        <f t="shared" si="3"/>
        <v>172.53893737776775</v>
      </c>
      <c r="I16" s="3">
        <f t="shared" si="4"/>
        <v>29769.684911449262</v>
      </c>
      <c r="J16" s="3">
        <f t="shared" si="5"/>
        <v>0.33102900383286854</v>
      </c>
      <c r="K16" s="1"/>
      <c r="L16" s="1"/>
    </row>
    <row r="17" spans="1:12" x14ac:dyDescent="0.25">
      <c r="A17" s="1"/>
      <c r="B17" s="3">
        <v>2022</v>
      </c>
      <c r="C17" s="3" t="s">
        <v>4</v>
      </c>
      <c r="D17" s="3">
        <v>781.89</v>
      </c>
      <c r="E17" s="3">
        <f t="shared" si="0"/>
        <v>685.73314874993366</v>
      </c>
      <c r="F17" s="3">
        <f t="shared" si="1"/>
        <v>631.64491992177136</v>
      </c>
      <c r="G17" s="3">
        <f t="shared" si="2"/>
        <v>150.24508007822863</v>
      </c>
      <c r="H17" s="3">
        <f t="shared" si="3"/>
        <v>150.24508007822863</v>
      </c>
      <c r="I17" s="3">
        <f t="shared" si="4"/>
        <v>22573.584087713331</v>
      </c>
      <c r="J17" s="3">
        <f t="shared" si="5"/>
        <v>0.19215628806894655</v>
      </c>
      <c r="K17" s="1"/>
      <c r="L17" s="1"/>
    </row>
    <row r="18" spans="1:12" x14ac:dyDescent="0.25">
      <c r="A18" s="1"/>
      <c r="B18" s="3">
        <v>2022</v>
      </c>
      <c r="C18" s="3" t="s">
        <v>5</v>
      </c>
      <c r="D18" s="3">
        <v>596.25</v>
      </c>
      <c r="E18" s="3">
        <f t="shared" si="0"/>
        <v>653.51921519995756</v>
      </c>
      <c r="F18" s="3">
        <f t="shared" si="1"/>
        <v>685.73314874993366</v>
      </c>
      <c r="G18" s="3">
        <f t="shared" si="2"/>
        <v>-89.483148749933662</v>
      </c>
      <c r="H18" s="3">
        <f t="shared" si="3"/>
        <v>89.483148749933662</v>
      </c>
      <c r="I18" s="3">
        <f t="shared" si="4"/>
        <v>8007.2339102027545</v>
      </c>
      <c r="J18" s="3">
        <f t="shared" si="5"/>
        <v>0.15007655974831641</v>
      </c>
      <c r="K18" s="1"/>
      <c r="L18" s="1"/>
    </row>
    <row r="19" spans="1:12" x14ac:dyDescent="0.25">
      <c r="A19" s="1"/>
      <c r="B19" s="3">
        <v>2022</v>
      </c>
      <c r="C19" s="3" t="s">
        <v>6</v>
      </c>
      <c r="D19" s="3">
        <v>618.15</v>
      </c>
      <c r="E19" s="3">
        <f t="shared" si="0"/>
        <v>640.78629772797285</v>
      </c>
      <c r="F19" s="3">
        <f t="shared" si="1"/>
        <v>653.51921519995756</v>
      </c>
      <c r="G19" s="3">
        <f t="shared" si="2"/>
        <v>-35.36921519995758</v>
      </c>
      <c r="H19" s="3">
        <f t="shared" si="3"/>
        <v>35.36921519995758</v>
      </c>
      <c r="I19" s="3">
        <f t="shared" si="4"/>
        <v>1250.9813838609102</v>
      </c>
      <c r="J19" s="3">
        <f t="shared" si="5"/>
        <v>5.7217851977606697E-2</v>
      </c>
      <c r="K19" s="1"/>
      <c r="L19" s="1"/>
    </row>
    <row r="20" spans="1:12" x14ac:dyDescent="0.25">
      <c r="A20" s="1"/>
      <c r="B20" s="3">
        <v>2022</v>
      </c>
      <c r="C20" s="3" t="s">
        <v>7</v>
      </c>
      <c r="D20" s="3">
        <v>597.22</v>
      </c>
      <c r="E20" s="3">
        <f t="shared" si="0"/>
        <v>625.10243054590262</v>
      </c>
      <c r="F20" s="3">
        <f t="shared" si="1"/>
        <v>640.78629772797285</v>
      </c>
      <c r="G20" s="3">
        <f t="shared" si="2"/>
        <v>-43.566297727972824</v>
      </c>
      <c r="H20" s="3">
        <f t="shared" si="3"/>
        <v>43.566297727972824</v>
      </c>
      <c r="I20" s="3">
        <f t="shared" si="4"/>
        <v>1898.02229772237</v>
      </c>
      <c r="J20" s="3">
        <f t="shared" si="5"/>
        <v>7.2948490887734543E-2</v>
      </c>
      <c r="K20" s="1"/>
      <c r="L20" s="1"/>
    </row>
    <row r="21" spans="1:12" x14ac:dyDescent="0.25">
      <c r="A21" s="1"/>
      <c r="B21" s="3">
        <v>2022</v>
      </c>
      <c r="C21" s="3" t="s">
        <v>8</v>
      </c>
      <c r="D21" s="3">
        <v>808.23</v>
      </c>
      <c r="E21" s="3">
        <f t="shared" si="0"/>
        <v>691.02835554937769</v>
      </c>
      <c r="F21" s="3">
        <f t="shared" si="1"/>
        <v>625.10243054590262</v>
      </c>
      <c r="G21" s="3">
        <f t="shared" si="2"/>
        <v>183.1275694540974</v>
      </c>
      <c r="H21" s="3">
        <f t="shared" si="3"/>
        <v>183.1275694540974</v>
      </c>
      <c r="I21" s="3">
        <f t="shared" si="4"/>
        <v>33535.706694165267</v>
      </c>
      <c r="J21" s="3">
        <f t="shared" si="5"/>
        <v>0.22657853513739579</v>
      </c>
      <c r="K21" s="1"/>
      <c r="L21" s="1"/>
    </row>
    <row r="22" spans="1:12" x14ac:dyDescent="0.25">
      <c r="A22" s="1"/>
      <c r="B22" s="3">
        <v>2022</v>
      </c>
      <c r="C22" s="3" t="s">
        <v>9</v>
      </c>
      <c r="D22" s="3">
        <v>784.83</v>
      </c>
      <c r="E22" s="3">
        <f t="shared" si="0"/>
        <v>724.79694755160176</v>
      </c>
      <c r="F22" s="3">
        <f t="shared" si="1"/>
        <v>691.02835554937769</v>
      </c>
      <c r="G22" s="3">
        <f t="shared" si="2"/>
        <v>93.801644450622348</v>
      </c>
      <c r="H22" s="3">
        <f t="shared" si="3"/>
        <v>93.801644450622348</v>
      </c>
      <c r="I22" s="3">
        <f t="shared" si="4"/>
        <v>8798.7485016409701</v>
      </c>
      <c r="J22" s="3">
        <f t="shared" si="5"/>
        <v>0.11951842367216128</v>
      </c>
      <c r="K22" s="1"/>
      <c r="L22" s="1"/>
    </row>
    <row r="23" spans="1:12" x14ac:dyDescent="0.25">
      <c r="A23" s="1"/>
      <c r="B23" s="3">
        <v>2022</v>
      </c>
      <c r="C23" s="3" t="s">
        <v>10</v>
      </c>
      <c r="D23" s="3">
        <v>765.42</v>
      </c>
      <c r="E23" s="3">
        <f t="shared" si="0"/>
        <v>739.42124643302509</v>
      </c>
      <c r="F23" s="3">
        <f t="shared" si="1"/>
        <v>724.79694755160176</v>
      </c>
      <c r="G23" s="3">
        <f t="shared" si="2"/>
        <v>40.623052448398198</v>
      </c>
      <c r="H23" s="3">
        <f t="shared" si="3"/>
        <v>40.623052448398198</v>
      </c>
      <c r="I23" s="3">
        <f t="shared" si="4"/>
        <v>1650.2323902253108</v>
      </c>
      <c r="J23" s="3">
        <f t="shared" si="5"/>
        <v>5.3072891286350239E-2</v>
      </c>
      <c r="K23" s="1"/>
      <c r="L23" s="1"/>
    </row>
    <row r="24" spans="1:12" x14ac:dyDescent="0.25">
      <c r="A24" s="1"/>
      <c r="B24" s="3">
        <v>2022</v>
      </c>
      <c r="C24" s="3" t="s">
        <v>11</v>
      </c>
      <c r="D24" s="3">
        <v>776.79</v>
      </c>
      <c r="E24" s="3">
        <f t="shared" si="0"/>
        <v>752.87399771713604</v>
      </c>
      <c r="F24" s="3">
        <f t="shared" si="1"/>
        <v>739.42124643302509</v>
      </c>
      <c r="G24" s="3">
        <f t="shared" si="2"/>
        <v>37.368753566974874</v>
      </c>
      <c r="H24" s="3">
        <f t="shared" si="3"/>
        <v>37.368753566974874</v>
      </c>
      <c r="I24" s="3">
        <f t="shared" si="4"/>
        <v>1396.4237431492975</v>
      </c>
      <c r="J24" s="3">
        <f t="shared" si="5"/>
        <v>4.810663572777054E-2</v>
      </c>
      <c r="K24" s="1"/>
      <c r="L24" s="1"/>
    </row>
    <row r="25" spans="1:12" x14ac:dyDescent="0.25">
      <c r="A25" s="1"/>
      <c r="B25" s="3">
        <v>2022</v>
      </c>
      <c r="C25" s="3" t="s">
        <v>12</v>
      </c>
      <c r="D25" s="3">
        <v>732.26</v>
      </c>
      <c r="E25" s="3">
        <f t="shared" si="0"/>
        <v>745.4529585389671</v>
      </c>
      <c r="F25" s="3">
        <f t="shared" si="1"/>
        <v>752.87399771713604</v>
      </c>
      <c r="G25" s="3">
        <f t="shared" si="2"/>
        <v>-20.613997717136044</v>
      </c>
      <c r="H25" s="3">
        <f t="shared" si="3"/>
        <v>20.613997717136044</v>
      </c>
      <c r="I25" s="3">
        <f t="shared" si="4"/>
        <v>424.93690188209007</v>
      </c>
      <c r="J25" s="3">
        <f t="shared" si="5"/>
        <v>2.8151200007013964E-2</v>
      </c>
      <c r="K25" s="1"/>
      <c r="L25" s="1"/>
    </row>
    <row r="26" spans="1:12" x14ac:dyDescent="0.25">
      <c r="A26" s="1"/>
      <c r="B26" s="3">
        <v>2022</v>
      </c>
      <c r="C26" s="3" t="s">
        <v>13</v>
      </c>
      <c r="D26" s="3">
        <v>852.2</v>
      </c>
      <c r="E26" s="3">
        <f t="shared" si="0"/>
        <v>783.88189346493891</v>
      </c>
      <c r="F26" s="3">
        <f t="shared" si="1"/>
        <v>745.4529585389671</v>
      </c>
      <c r="G26" s="3">
        <f t="shared" si="2"/>
        <v>106.74704146103295</v>
      </c>
      <c r="H26" s="3">
        <f t="shared" si="3"/>
        <v>106.74704146103295</v>
      </c>
      <c r="I26" s="3">
        <f t="shared" si="4"/>
        <v>11394.930860683487</v>
      </c>
      <c r="J26" s="3">
        <f t="shared" si="5"/>
        <v>0.12526055088128718</v>
      </c>
      <c r="K26" s="1"/>
      <c r="L26" s="1"/>
    </row>
    <row r="27" spans="1:12" x14ac:dyDescent="0.25">
      <c r="A27" s="1"/>
      <c r="B27" s="3">
        <v>2022</v>
      </c>
      <c r="C27" s="3" t="s">
        <v>14</v>
      </c>
      <c r="D27" s="3">
        <v>770.19</v>
      </c>
      <c r="E27" s="3">
        <f t="shared" si="0"/>
        <v>778.95281181756093</v>
      </c>
      <c r="F27" s="3">
        <f t="shared" si="1"/>
        <v>783.88189346493891</v>
      </c>
      <c r="G27" s="3">
        <f t="shared" si="2"/>
        <v>-13.691893464938858</v>
      </c>
      <c r="H27" s="3">
        <f t="shared" si="3"/>
        <v>13.691893464938858</v>
      </c>
      <c r="I27" s="3">
        <f t="shared" si="4"/>
        <v>187.46794665523538</v>
      </c>
      <c r="J27" s="3">
        <f t="shared" si="5"/>
        <v>1.7777293219775454E-2</v>
      </c>
      <c r="K27" s="1"/>
      <c r="L27" s="1"/>
    </row>
    <row r="28" spans="1:12" x14ac:dyDescent="0.25">
      <c r="A28" s="1"/>
      <c r="B28" s="3">
        <v>2023</v>
      </c>
      <c r="C28" s="3" t="s">
        <v>3</v>
      </c>
      <c r="D28" s="3">
        <v>666.12</v>
      </c>
      <c r="E28" s="3">
        <f t="shared" si="0"/>
        <v>738.33299956323901</v>
      </c>
      <c r="F28" s="3">
        <f t="shared" si="1"/>
        <v>778.95281181756093</v>
      </c>
      <c r="G28" s="3">
        <f t="shared" si="2"/>
        <v>-112.83281181756092</v>
      </c>
      <c r="H28" s="3">
        <f t="shared" si="3"/>
        <v>112.83281181756092</v>
      </c>
      <c r="I28" s="3">
        <f t="shared" si="4"/>
        <v>12731.243422657117</v>
      </c>
      <c r="J28" s="3">
        <f t="shared" si="5"/>
        <v>0.16938811598144618</v>
      </c>
      <c r="K28" s="1"/>
      <c r="L28" s="1"/>
    </row>
    <row r="29" spans="1:12" x14ac:dyDescent="0.25">
      <c r="A29" s="1"/>
      <c r="B29" s="3">
        <v>2023</v>
      </c>
      <c r="C29" s="3" t="s">
        <v>4</v>
      </c>
      <c r="D29" s="3">
        <v>608.54</v>
      </c>
      <c r="E29" s="3">
        <f t="shared" si="0"/>
        <v>691.60751972047296</v>
      </c>
      <c r="F29" s="3">
        <f t="shared" si="1"/>
        <v>738.33299956323901</v>
      </c>
      <c r="G29" s="3">
        <f t="shared" si="2"/>
        <v>-129.79299956323905</v>
      </c>
      <c r="H29" s="3">
        <f t="shared" si="3"/>
        <v>129.79299956323905</v>
      </c>
      <c r="I29" s="3">
        <f t="shared" si="4"/>
        <v>16846.222735622971</v>
      </c>
      <c r="J29" s="3">
        <f t="shared" si="5"/>
        <v>0.21328589667604275</v>
      </c>
      <c r="K29" s="1"/>
      <c r="L29" s="1"/>
    </row>
    <row r="30" spans="1:12" x14ac:dyDescent="0.25">
      <c r="A30" s="1"/>
      <c r="B30" s="3">
        <v>2023</v>
      </c>
      <c r="C30" s="3" t="s">
        <v>5</v>
      </c>
      <c r="D30" s="3">
        <v>636.95000000000005</v>
      </c>
      <c r="E30" s="3">
        <f t="shared" si="0"/>
        <v>671.93081262110275</v>
      </c>
      <c r="F30" s="3">
        <f t="shared" si="1"/>
        <v>691.60751972047296</v>
      </c>
      <c r="G30" s="3">
        <f t="shared" si="2"/>
        <v>-54.657519720472919</v>
      </c>
      <c r="H30" s="3">
        <f t="shared" si="3"/>
        <v>54.657519720472919</v>
      </c>
      <c r="I30" s="3">
        <f t="shared" si="4"/>
        <v>2987.4444619938859</v>
      </c>
      <c r="J30" s="3">
        <f t="shared" si="5"/>
        <v>8.5811319130972466E-2</v>
      </c>
      <c r="K30" s="1"/>
      <c r="L30" s="1"/>
    </row>
    <row r="31" spans="1:12" x14ac:dyDescent="0.25">
      <c r="A31" s="1"/>
      <c r="B31" s="3">
        <v>2023</v>
      </c>
      <c r="C31" s="3" t="s">
        <v>6</v>
      </c>
      <c r="D31" s="3">
        <v>731.72</v>
      </c>
      <c r="E31" s="3">
        <f t="shared" si="0"/>
        <v>693.45492007750568</v>
      </c>
      <c r="F31" s="3">
        <f t="shared" si="1"/>
        <v>671.93081262110275</v>
      </c>
      <c r="G31" s="3">
        <f t="shared" si="2"/>
        <v>59.789187378897282</v>
      </c>
      <c r="H31" s="3">
        <f t="shared" si="3"/>
        <v>59.789187378897282</v>
      </c>
      <c r="I31" s="3">
        <f t="shared" si="4"/>
        <v>3574.7469274288901</v>
      </c>
      <c r="J31" s="3">
        <f t="shared" si="5"/>
        <v>8.1710473102959161E-2</v>
      </c>
      <c r="K31" s="1"/>
      <c r="L31" s="1"/>
    </row>
    <row r="32" spans="1:12" x14ac:dyDescent="0.25">
      <c r="A32" s="1"/>
      <c r="B32" s="3">
        <v>2023</v>
      </c>
      <c r="C32" s="3" t="s">
        <v>7</v>
      </c>
      <c r="D32" s="3">
        <v>768.36</v>
      </c>
      <c r="E32" s="3">
        <f t="shared" si="0"/>
        <v>720.42074884960357</v>
      </c>
      <c r="F32" s="3">
        <f t="shared" si="1"/>
        <v>693.45492007750568</v>
      </c>
      <c r="G32" s="3">
        <f t="shared" si="2"/>
        <v>74.905079922494338</v>
      </c>
      <c r="H32" s="3">
        <f t="shared" si="3"/>
        <v>74.905079922494338</v>
      </c>
      <c r="I32" s="3">
        <f t="shared" si="4"/>
        <v>5610.7709981952639</v>
      </c>
      <c r="J32" s="3">
        <f t="shared" si="5"/>
        <v>9.7486959136985699E-2</v>
      </c>
      <c r="K32" s="1"/>
      <c r="L32" s="1"/>
    </row>
    <row r="33" spans="1:12" x14ac:dyDescent="0.25">
      <c r="A33" s="1"/>
      <c r="B33" s="3">
        <v>2023</v>
      </c>
      <c r="C33" s="3" t="s">
        <v>8</v>
      </c>
      <c r="D33" s="3">
        <v>814.85</v>
      </c>
      <c r="E33" s="3">
        <f t="shared" si="0"/>
        <v>754.41527926374624</v>
      </c>
      <c r="F33" s="3">
        <f t="shared" si="1"/>
        <v>720.42074884960357</v>
      </c>
      <c r="G33" s="3">
        <f t="shared" si="2"/>
        <v>94.429251150396453</v>
      </c>
      <c r="H33" s="3">
        <f t="shared" si="3"/>
        <v>94.429251150396453</v>
      </c>
      <c r="I33" s="3">
        <f t="shared" si="4"/>
        <v>8916.8834728246493</v>
      </c>
      <c r="J33" s="3">
        <f t="shared" si="5"/>
        <v>0.11588544044964895</v>
      </c>
      <c r="K33" s="1"/>
      <c r="L33" s="1"/>
    </row>
    <row r="34" spans="1:12" x14ac:dyDescent="0.25">
      <c r="A34" s="1"/>
      <c r="B34" s="3">
        <v>2023</v>
      </c>
      <c r="C34" s="3" t="s">
        <v>9</v>
      </c>
      <c r="D34" s="3">
        <v>850.22</v>
      </c>
      <c r="E34" s="3">
        <f t="shared" si="0"/>
        <v>788.90497872879769</v>
      </c>
      <c r="F34" s="3">
        <f t="shared" si="1"/>
        <v>754.41527926374624</v>
      </c>
      <c r="G34" s="3">
        <f t="shared" si="2"/>
        <v>95.804720736253785</v>
      </c>
      <c r="H34" s="3">
        <f t="shared" si="3"/>
        <v>95.804720736253785</v>
      </c>
      <c r="I34" s="3">
        <f t="shared" si="4"/>
        <v>9178.5445153515757</v>
      </c>
      <c r="J34" s="3">
        <f t="shared" si="5"/>
        <v>0.11268227133712895</v>
      </c>
      <c r="K34" s="1"/>
      <c r="L34" s="1"/>
    </row>
    <row r="35" spans="1:12" x14ac:dyDescent="0.25">
      <c r="A35" s="1"/>
      <c r="B35" s="3">
        <v>2023</v>
      </c>
      <c r="C35" s="3" t="s">
        <v>10</v>
      </c>
      <c r="D35" s="3">
        <v>789.31</v>
      </c>
      <c r="E35" s="3">
        <f t="shared" si="0"/>
        <v>789.05078638643045</v>
      </c>
      <c r="F35" s="3">
        <f t="shared" si="1"/>
        <v>788.90497872879769</v>
      </c>
      <c r="G35" s="3">
        <f t="shared" si="2"/>
        <v>0.4050212712022585</v>
      </c>
      <c r="H35" s="3">
        <f t="shared" si="3"/>
        <v>0.4050212712022585</v>
      </c>
      <c r="I35" s="3">
        <f t="shared" si="4"/>
        <v>0.16404223012629343</v>
      </c>
      <c r="J35" s="3">
        <f t="shared" si="5"/>
        <v>5.1313333316727083E-4</v>
      </c>
      <c r="K35" s="1"/>
      <c r="L35" s="1"/>
    </row>
    <row r="36" spans="1:12" x14ac:dyDescent="0.25">
      <c r="A36" s="1"/>
      <c r="B36" s="3">
        <v>2023</v>
      </c>
      <c r="C36" s="3" t="s">
        <v>11</v>
      </c>
      <c r="D36" s="3">
        <v>729.38</v>
      </c>
      <c r="E36" s="3">
        <f t="shared" si="0"/>
        <v>767.56930328731551</v>
      </c>
      <c r="F36" s="3">
        <f t="shared" si="1"/>
        <v>789.05078638643045</v>
      </c>
      <c r="G36" s="3">
        <f t="shared" si="2"/>
        <v>-59.67078638643045</v>
      </c>
      <c r="H36" s="3">
        <f t="shared" si="3"/>
        <v>59.67078638643045</v>
      </c>
      <c r="I36" s="3">
        <f t="shared" si="4"/>
        <v>3560.6027479750137</v>
      </c>
      <c r="J36" s="3">
        <f t="shared" si="5"/>
        <v>8.1810285977721428E-2</v>
      </c>
      <c r="K36" s="1"/>
      <c r="L36" s="1"/>
    </row>
    <row r="37" spans="1:12" x14ac:dyDescent="0.25">
      <c r="A37" s="1"/>
      <c r="B37" s="3">
        <v>2023</v>
      </c>
      <c r="C37" s="3" t="s">
        <v>12</v>
      </c>
      <c r="D37" s="3">
        <v>860.26</v>
      </c>
      <c r="E37" s="3">
        <f t="shared" si="0"/>
        <v>800.93795410388202</v>
      </c>
      <c r="F37" s="3">
        <f t="shared" si="1"/>
        <v>767.56930328731551</v>
      </c>
      <c r="G37" s="3">
        <f t="shared" si="2"/>
        <v>92.690696712684485</v>
      </c>
      <c r="H37" s="3">
        <f t="shared" si="3"/>
        <v>92.690696712684485</v>
      </c>
      <c r="I37" s="3">
        <f t="shared" si="4"/>
        <v>8591.5652570828588</v>
      </c>
      <c r="J37" s="3">
        <f t="shared" si="5"/>
        <v>0.10774730513180258</v>
      </c>
      <c r="K37" s="1"/>
      <c r="L37" s="1"/>
    </row>
    <row r="38" spans="1:12" x14ac:dyDescent="0.25">
      <c r="A38" s="1"/>
      <c r="B38" s="3">
        <v>2023</v>
      </c>
      <c r="C38" s="3" t="s">
        <v>13</v>
      </c>
      <c r="D38" s="3">
        <v>946.79</v>
      </c>
      <c r="E38" s="3">
        <f t="shared" si="0"/>
        <v>853.44469062648443</v>
      </c>
      <c r="F38" s="3">
        <f t="shared" si="1"/>
        <v>800.93795410388202</v>
      </c>
      <c r="G38" s="3">
        <f t="shared" si="2"/>
        <v>145.85204589611794</v>
      </c>
      <c r="H38" s="3">
        <f t="shared" si="3"/>
        <v>145.85204589611794</v>
      </c>
      <c r="I38" s="3">
        <f t="shared" si="4"/>
        <v>21272.819292083295</v>
      </c>
      <c r="J38" s="3">
        <f t="shared" si="5"/>
        <v>0.15404899280317488</v>
      </c>
      <c r="K38" s="1"/>
      <c r="L38" s="1"/>
    </row>
    <row r="39" spans="1:12" x14ac:dyDescent="0.25">
      <c r="A39" s="1"/>
      <c r="B39" s="3">
        <v>2023</v>
      </c>
      <c r="C39" s="3" t="s">
        <v>14</v>
      </c>
      <c r="D39" s="3">
        <v>1054.5999999999999</v>
      </c>
      <c r="E39" s="3">
        <f t="shared" si="0"/>
        <v>925.86060200094994</v>
      </c>
      <c r="F39" s="3">
        <f t="shared" si="1"/>
        <v>853.44469062648443</v>
      </c>
      <c r="G39" s="3">
        <f t="shared" si="2"/>
        <v>201.15530937351548</v>
      </c>
      <c r="H39" s="3">
        <f t="shared" si="3"/>
        <v>201.15530937351548</v>
      </c>
      <c r="I39" s="3">
        <f t="shared" si="4"/>
        <v>40463.458489154727</v>
      </c>
      <c r="J39" s="3">
        <f t="shared" si="5"/>
        <v>0.19074085849944575</v>
      </c>
      <c r="K39" s="1"/>
      <c r="L39" s="1"/>
    </row>
    <row r="40" spans="1:12" x14ac:dyDescent="0.25">
      <c r="A40" s="1"/>
      <c r="B40" s="3">
        <v>2024</v>
      </c>
      <c r="C40" s="3" t="s">
        <v>3</v>
      </c>
      <c r="D40" s="3">
        <v>808.48</v>
      </c>
      <c r="E40" s="3">
        <f t="shared" si="0"/>
        <v>883.60358528060806</v>
      </c>
      <c r="F40" s="3">
        <f t="shared" si="1"/>
        <v>925.86060200094994</v>
      </c>
      <c r="G40" s="3">
        <f t="shared" si="2"/>
        <v>-117.38060200094992</v>
      </c>
      <c r="H40" s="3">
        <f t="shared" si="3"/>
        <v>117.38060200094992</v>
      </c>
      <c r="I40" s="3">
        <f t="shared" si="4"/>
        <v>13778.205726105409</v>
      </c>
      <c r="J40" s="3">
        <f t="shared" si="5"/>
        <v>0.14518677271045655</v>
      </c>
      <c r="K40" s="1"/>
      <c r="L40" s="1"/>
    </row>
    <row r="41" spans="1:12" x14ac:dyDescent="0.25">
      <c r="A41" s="1"/>
      <c r="B41" s="3">
        <v>2024</v>
      </c>
      <c r="C41" s="3" t="s">
        <v>4</v>
      </c>
      <c r="D41" s="3">
        <v>806.51</v>
      </c>
      <c r="E41" s="3">
        <f t="shared" si="0"/>
        <v>855.84989457958909</v>
      </c>
      <c r="F41" s="3">
        <f t="shared" si="1"/>
        <v>883.60358528060806</v>
      </c>
      <c r="G41" s="3">
        <f t="shared" si="2"/>
        <v>-77.093585280608067</v>
      </c>
      <c r="H41" s="3">
        <f t="shared" si="3"/>
        <v>77.093585280608067</v>
      </c>
      <c r="I41" s="3">
        <f t="shared" si="4"/>
        <v>5943.4208914183891</v>
      </c>
      <c r="J41" s="3">
        <f t="shared" si="5"/>
        <v>9.5589125095297101E-2</v>
      </c>
      <c r="K41" s="1"/>
      <c r="L41" s="1"/>
    </row>
    <row r="42" spans="1:12" x14ac:dyDescent="0.25">
      <c r="A42" s="1"/>
      <c r="B42" s="3">
        <v>2024</v>
      </c>
      <c r="C42" s="3" t="s">
        <v>5</v>
      </c>
      <c r="D42" s="3">
        <v>844.53</v>
      </c>
      <c r="E42" s="3">
        <f t="shared" si="0"/>
        <v>851.77473253093706</v>
      </c>
      <c r="F42" s="3">
        <f t="shared" si="1"/>
        <v>855.84989457958909</v>
      </c>
      <c r="G42" s="3">
        <f t="shared" si="2"/>
        <v>-11.319894579589118</v>
      </c>
      <c r="H42" s="3">
        <f t="shared" si="3"/>
        <v>11.319894579589118</v>
      </c>
      <c r="I42" s="3">
        <f t="shared" si="4"/>
        <v>128.14001329301109</v>
      </c>
      <c r="J42" s="3">
        <f t="shared" si="5"/>
        <v>1.3403780303351116E-2</v>
      </c>
      <c r="K42" s="1"/>
      <c r="L42" s="1"/>
    </row>
    <row r="43" spans="1:12" x14ac:dyDescent="0.25">
      <c r="A43" s="1"/>
      <c r="B43" s="3">
        <v>2024</v>
      </c>
      <c r="C43" s="3" t="s">
        <v>6</v>
      </c>
      <c r="D43" s="3">
        <v>786.62</v>
      </c>
      <c r="E43" s="3">
        <f t="shared" si="0"/>
        <v>828.31902881979977</v>
      </c>
      <c r="F43" s="3">
        <f t="shared" si="1"/>
        <v>851.77473253093706</v>
      </c>
      <c r="G43" s="3">
        <f t="shared" si="2"/>
        <v>-65.154732530937054</v>
      </c>
      <c r="H43" s="3">
        <f t="shared" si="3"/>
        <v>65.154732530937054</v>
      </c>
      <c r="I43" s="3">
        <f t="shared" si="4"/>
        <v>4245.139171177947</v>
      </c>
      <c r="J43" s="3">
        <f t="shared" si="5"/>
        <v>8.2828726107824685E-2</v>
      </c>
      <c r="K43" s="1"/>
      <c r="L43" s="1"/>
    </row>
    <row r="44" spans="1:12" x14ac:dyDescent="0.25">
      <c r="A44" s="1"/>
      <c r="B44" s="3">
        <v>2024</v>
      </c>
      <c r="C44" s="3" t="s">
        <v>7</v>
      </c>
      <c r="D44" s="3">
        <v>1036.4000000000001</v>
      </c>
      <c r="E44" s="3">
        <f t="shared" si="0"/>
        <v>903.22817844467193</v>
      </c>
      <c r="F44" s="3">
        <f t="shared" si="1"/>
        <v>828.31902881979977</v>
      </c>
      <c r="G44" s="3">
        <f t="shared" si="2"/>
        <v>208.08097118020032</v>
      </c>
      <c r="H44" s="3">
        <f t="shared" si="3"/>
        <v>208.08097118020032</v>
      </c>
      <c r="I44" s="3">
        <f t="shared" si="4"/>
        <v>43297.690567295358</v>
      </c>
      <c r="J44" s="3">
        <f t="shared" si="5"/>
        <v>0.2007728398110771</v>
      </c>
      <c r="K44" s="1"/>
      <c r="L44" s="1"/>
    </row>
    <row r="45" spans="1:12" x14ac:dyDescent="0.25">
      <c r="A45" s="1"/>
      <c r="B45" s="3">
        <v>2024</v>
      </c>
      <c r="C45" s="3" t="s">
        <v>8</v>
      </c>
      <c r="D45" s="3">
        <v>927.45</v>
      </c>
      <c r="E45" s="3">
        <f t="shared" si="0"/>
        <v>911.94803420459016</v>
      </c>
      <c r="F45" s="3">
        <f t="shared" si="1"/>
        <v>903.22817844467193</v>
      </c>
      <c r="G45" s="3">
        <f t="shared" si="2"/>
        <v>24.22182155532812</v>
      </c>
      <c r="H45" s="3">
        <f t="shared" si="3"/>
        <v>24.22182155532812</v>
      </c>
      <c r="I45" s="3">
        <f t="shared" si="4"/>
        <v>586.69663945815796</v>
      </c>
      <c r="J45" s="3">
        <f t="shared" si="5"/>
        <v>2.61165793900783E-2</v>
      </c>
      <c r="K45" s="1"/>
      <c r="L45" s="1"/>
    </row>
    <row r="46" spans="1:12" x14ac:dyDescent="0.25">
      <c r="A46" s="1"/>
      <c r="B46" s="3">
        <v>2024</v>
      </c>
      <c r="C46" s="3" t="s">
        <v>9</v>
      </c>
      <c r="D46" s="3">
        <v>1029.5899999999999</v>
      </c>
      <c r="E46" s="3">
        <f t="shared" si="0"/>
        <v>954.29914189093768</v>
      </c>
      <c r="F46" s="3">
        <f t="shared" si="1"/>
        <v>911.94803420459016</v>
      </c>
      <c r="G46" s="3">
        <f t="shared" si="2"/>
        <v>117.64196579540976</v>
      </c>
      <c r="H46" s="3">
        <f t="shared" si="3"/>
        <v>117.64196579540976</v>
      </c>
      <c r="I46" s="3">
        <f t="shared" si="4"/>
        <v>13839.63211620836</v>
      </c>
      <c r="J46" s="3">
        <f t="shared" si="5"/>
        <v>0.11426098329957533</v>
      </c>
      <c r="K46" s="1"/>
      <c r="L46" s="1"/>
    </row>
    <row r="47" spans="1:12" x14ac:dyDescent="0.25">
      <c r="A47" s="1"/>
      <c r="B47" s="3">
        <v>2024</v>
      </c>
      <c r="C47" s="3" t="s">
        <v>10</v>
      </c>
      <c r="D47" s="3">
        <v>909.87</v>
      </c>
      <c r="E47" s="3">
        <f t="shared" si="0"/>
        <v>938.3046508102002</v>
      </c>
      <c r="F47" s="3">
        <f t="shared" si="1"/>
        <v>954.29914189093768</v>
      </c>
      <c r="G47" s="3">
        <f t="shared" si="2"/>
        <v>-44.429141890937672</v>
      </c>
      <c r="H47" s="3">
        <f t="shared" si="3"/>
        <v>44.429141890937672</v>
      </c>
      <c r="I47" s="3">
        <f t="shared" si="4"/>
        <v>1973.9486491650728</v>
      </c>
      <c r="J47" s="3">
        <f t="shared" si="5"/>
        <v>4.8830208591268721E-2</v>
      </c>
      <c r="K47" s="1"/>
      <c r="L47" s="1"/>
    </row>
    <row r="48" spans="1:12" x14ac:dyDescent="0.25">
      <c r="A48" s="1"/>
      <c r="B48" s="3">
        <v>2024</v>
      </c>
      <c r="C48" s="3" t="s">
        <v>11</v>
      </c>
      <c r="D48" s="3">
        <v>1073.03</v>
      </c>
      <c r="E48" s="3">
        <f t="shared" si="0"/>
        <v>986.80577651852809</v>
      </c>
      <c r="F48" s="3">
        <f t="shared" si="1"/>
        <v>938.3046508102002</v>
      </c>
      <c r="G48" s="3">
        <f t="shared" si="2"/>
        <v>134.72534918979977</v>
      </c>
      <c r="H48" s="3">
        <f t="shared" si="3"/>
        <v>134.72534918979977</v>
      </c>
      <c r="I48" s="3">
        <f t="shared" si="4"/>
        <v>18150.919714313481</v>
      </c>
      <c r="J48" s="3">
        <f t="shared" si="5"/>
        <v>0.12555599488346064</v>
      </c>
      <c r="K48" s="1"/>
      <c r="L48" s="1"/>
    </row>
    <row r="49" spans="1:12" x14ac:dyDescent="0.25">
      <c r="A49" s="1"/>
      <c r="B49" s="3">
        <v>2024</v>
      </c>
      <c r="C49" s="3" t="s">
        <v>12</v>
      </c>
      <c r="D49" s="3">
        <v>1081.46</v>
      </c>
      <c r="E49" s="3">
        <f t="shared" si="0"/>
        <v>1020.881296971858</v>
      </c>
      <c r="F49" s="3">
        <f t="shared" si="1"/>
        <v>986.80577651852809</v>
      </c>
      <c r="G49" s="3">
        <f t="shared" si="2"/>
        <v>94.654223481471945</v>
      </c>
      <c r="H49" s="3">
        <f t="shared" si="3"/>
        <v>94.654223481471945</v>
      </c>
      <c r="I49" s="3">
        <f t="shared" si="4"/>
        <v>8959.4220228804352</v>
      </c>
      <c r="J49" s="3">
        <f t="shared" si="5"/>
        <v>8.7524479390335239E-2</v>
      </c>
      <c r="K49" s="1"/>
      <c r="L49" s="1"/>
    </row>
    <row r="50" spans="1:12" x14ac:dyDescent="0.25">
      <c r="A50" s="1"/>
      <c r="B50" s="3">
        <v>2024</v>
      </c>
      <c r="C50" s="3" t="s">
        <v>13</v>
      </c>
      <c r="D50" s="3">
        <v>1134.69</v>
      </c>
      <c r="E50" s="3">
        <f t="shared" si="0"/>
        <v>1061.852430061989</v>
      </c>
      <c r="F50" s="3">
        <f t="shared" si="1"/>
        <v>1020.881296971858</v>
      </c>
      <c r="G50" s="3">
        <f t="shared" si="2"/>
        <v>113.80870302814208</v>
      </c>
      <c r="H50" s="3">
        <f t="shared" si="3"/>
        <v>113.80870302814208</v>
      </c>
      <c r="I50" s="3">
        <f t="shared" si="4"/>
        <v>12952.420884947836</v>
      </c>
      <c r="J50" s="3">
        <f t="shared" si="5"/>
        <v>0.10029937959102668</v>
      </c>
      <c r="K50" s="1"/>
      <c r="L50" s="1"/>
    </row>
    <row r="51" spans="1:12" x14ac:dyDescent="0.25">
      <c r="A51" s="1"/>
      <c r="B51" s="3">
        <v>2024</v>
      </c>
      <c r="C51" s="3" t="s">
        <v>14</v>
      </c>
      <c r="D51" s="3">
        <v>924.78</v>
      </c>
      <c r="E51" s="3">
        <f t="shared" si="0"/>
        <v>1012.506355239673</v>
      </c>
      <c r="F51" s="3">
        <f t="shared" si="1"/>
        <v>1061.852430061989</v>
      </c>
      <c r="G51" s="3">
        <f t="shared" si="2"/>
        <v>-137.07243006198905</v>
      </c>
      <c r="H51" s="3">
        <f t="shared" si="3"/>
        <v>137.07243006198905</v>
      </c>
      <c r="I51" s="3">
        <f t="shared" si="4"/>
        <v>18788.851083098882</v>
      </c>
      <c r="J51" s="3">
        <f t="shared" si="5"/>
        <v>0.14822166359781683</v>
      </c>
      <c r="K51" s="1"/>
      <c r="L51" s="1"/>
    </row>
    <row r="52" spans="1:12" x14ac:dyDescent="0.25">
      <c r="A52" s="1"/>
      <c r="B52" s="3">
        <v>2025</v>
      </c>
      <c r="C52" s="3" t="s">
        <v>3</v>
      </c>
      <c r="D52" s="3">
        <v>843.21</v>
      </c>
      <c r="E52" s="3">
        <f t="shared" si="0"/>
        <v>951.55966735339075</v>
      </c>
      <c r="F52" s="3">
        <f t="shared" si="1"/>
        <v>1012.506355239673</v>
      </c>
      <c r="G52" s="3">
        <f t="shared" si="2"/>
        <v>-169.29635523967295</v>
      </c>
      <c r="H52" s="3">
        <f t="shared" si="3"/>
        <v>169.29635523967295</v>
      </c>
      <c r="I52" s="3">
        <f t="shared" si="4"/>
        <v>28661.255897437539</v>
      </c>
      <c r="J52" s="3">
        <f t="shared" si="5"/>
        <v>0.20077602879433704</v>
      </c>
      <c r="K52" s="1"/>
      <c r="L52" s="1"/>
    </row>
    <row r="53" spans="1:12" x14ac:dyDescent="0.25">
      <c r="A53" s="1"/>
      <c r="B53" s="3">
        <v>2025</v>
      </c>
      <c r="C53" s="3" t="s">
        <v>4</v>
      </c>
      <c r="D53" s="3">
        <v>1037.6099999999999</v>
      </c>
      <c r="E53" s="3">
        <f t="shared" si="0"/>
        <v>982.53778710617007</v>
      </c>
      <c r="F53" s="3">
        <f t="shared" si="1"/>
        <v>951.55966735339075</v>
      </c>
      <c r="G53" s="3">
        <f t="shared" si="2"/>
        <v>86.050332646609149</v>
      </c>
      <c r="H53" s="3">
        <f t="shared" si="3"/>
        <v>86.050332646609149</v>
      </c>
      <c r="I53" s="3">
        <f t="shared" si="4"/>
        <v>7404.6597485920884</v>
      </c>
      <c r="J53" s="3">
        <f t="shared" si="5"/>
        <v>8.2931286944621929E-2</v>
      </c>
      <c r="K53" s="1"/>
      <c r="L53" s="1"/>
    </row>
    <row r="54" spans="1:12" x14ac:dyDescent="0.25">
      <c r="A54" s="1"/>
      <c r="B54" s="3">
        <v>2025</v>
      </c>
      <c r="C54" s="3" t="s">
        <v>5</v>
      </c>
      <c r="D54" s="3">
        <v>1043.92</v>
      </c>
      <c r="E54" s="3">
        <f t="shared" si="0"/>
        <v>1004.6353837479488</v>
      </c>
      <c r="F54" s="3">
        <f t="shared" si="1"/>
        <v>982.53778710617007</v>
      </c>
      <c r="G54" s="3">
        <f t="shared" si="2"/>
        <v>61.382212893830001</v>
      </c>
      <c r="H54" s="3">
        <f t="shared" si="3"/>
        <v>61.382212893830001</v>
      </c>
      <c r="I54" s="3">
        <f t="shared" si="4"/>
        <v>3767.7760597434699</v>
      </c>
      <c r="J54" s="3">
        <f t="shared" si="5"/>
        <v>5.8799728804726413E-2</v>
      </c>
      <c r="K54" s="1"/>
      <c r="L54" s="1"/>
    </row>
    <row r="55" spans="1:12" x14ac:dyDescent="0.25">
      <c r="A55" s="1"/>
      <c r="B55" s="3">
        <v>2025</v>
      </c>
      <c r="C55" s="3" t="s">
        <v>6</v>
      </c>
      <c r="D55" s="3">
        <v>1126.9000000000001</v>
      </c>
      <c r="E55" s="3">
        <f t="shared" si="0"/>
        <v>1048.6506455986873</v>
      </c>
      <c r="F55" s="3">
        <f t="shared" si="1"/>
        <v>1004.6353837479488</v>
      </c>
      <c r="G55" s="3">
        <f t="shared" si="2"/>
        <v>122.26461625205127</v>
      </c>
      <c r="H55" s="3">
        <f t="shared" si="3"/>
        <v>122.26461625205127</v>
      </c>
      <c r="I55" s="3">
        <f t="shared" si="4"/>
        <v>14948.63638726136</v>
      </c>
      <c r="J55" s="3">
        <f t="shared" si="5"/>
        <v>0.10849642049165965</v>
      </c>
      <c r="K55" s="1"/>
      <c r="L55" s="1"/>
    </row>
    <row r="56" spans="1:12" x14ac:dyDescent="0.25">
      <c r="A56" s="1"/>
      <c r="B56" s="3">
        <v>2025</v>
      </c>
      <c r="C56" s="3" t="s">
        <v>7</v>
      </c>
      <c r="D56" s="3">
        <v>1062.83</v>
      </c>
      <c r="E56" s="3">
        <f t="shared" si="0"/>
        <v>1053.7552131831599</v>
      </c>
      <c r="F56" s="3">
        <f t="shared" si="1"/>
        <v>1048.6506455986873</v>
      </c>
      <c r="G56" s="3">
        <f t="shared" si="2"/>
        <v>14.179354401312594</v>
      </c>
      <c r="H56" s="3">
        <f t="shared" si="3"/>
        <v>14.179354401312594</v>
      </c>
      <c r="I56" s="3">
        <f t="shared" si="4"/>
        <v>201.05409123802283</v>
      </c>
      <c r="J56" s="3">
        <f t="shared" si="5"/>
        <v>1.3341131132271948E-2</v>
      </c>
      <c r="K56" s="1"/>
      <c r="L56" s="1"/>
    </row>
    <row r="57" spans="1:12" x14ac:dyDescent="0.25">
      <c r="A57" s="1"/>
      <c r="B57" s="3">
        <v>2025</v>
      </c>
      <c r="C57" s="3" t="s">
        <v>8</v>
      </c>
      <c r="D57" s="3">
        <v>1130.69</v>
      </c>
      <c r="E57" s="3">
        <f t="shared" si="0"/>
        <v>1081.4517364372223</v>
      </c>
      <c r="F57" s="3">
        <f t="shared" si="1"/>
        <v>1053.7552131831599</v>
      </c>
      <c r="G57" s="3">
        <f t="shared" si="2"/>
        <v>76.934786816840187</v>
      </c>
      <c r="H57" s="3">
        <f t="shared" si="3"/>
        <v>76.934786816840187</v>
      </c>
      <c r="I57" s="3">
        <f t="shared" si="4"/>
        <v>5918.9614225526466</v>
      </c>
      <c r="J57" s="3">
        <f t="shared" si="5"/>
        <v>6.8042334164837556E-2</v>
      </c>
      <c r="K57" s="1"/>
      <c r="L57" s="1"/>
    </row>
    <row r="58" spans="1:12" x14ac:dyDescent="0.25">
      <c r="A58" s="1"/>
      <c r="B58" s="3">
        <v>2025</v>
      </c>
      <c r="C58" s="3" t="s">
        <v>9</v>
      </c>
      <c r="D58" s="3">
        <v>1011.44</v>
      </c>
      <c r="E58" s="3">
        <f t="shared" si="0"/>
        <v>1056.2475113198223</v>
      </c>
      <c r="F58" s="3">
        <f t="shared" si="1"/>
        <v>1081.4517364372223</v>
      </c>
      <c r="G58" s="3">
        <f t="shared" si="2"/>
        <v>-70.011736437222226</v>
      </c>
      <c r="H58" s="3">
        <f t="shared" si="3"/>
        <v>70.011736437222226</v>
      </c>
      <c r="I58" s="3">
        <f t="shared" si="4"/>
        <v>4901.64323895507</v>
      </c>
      <c r="J58" s="3">
        <f t="shared" si="5"/>
        <v>6.9219861224810386E-2</v>
      </c>
      <c r="K58" s="1"/>
      <c r="L58" s="1"/>
    </row>
    <row r="59" spans="1:12" x14ac:dyDescent="0.25">
      <c r="A59" s="1"/>
      <c r="B59" s="3">
        <v>2025</v>
      </c>
      <c r="C59" s="3" t="s">
        <v>10</v>
      </c>
      <c r="D59" s="3">
        <v>1184.32</v>
      </c>
      <c r="E59" s="3">
        <f t="shared" si="0"/>
        <v>1102.3536072446864</v>
      </c>
      <c r="F59" s="3">
        <f t="shared" si="1"/>
        <v>1056.2475113198223</v>
      </c>
      <c r="G59" s="3">
        <f t="shared" si="2"/>
        <v>128.07248868017768</v>
      </c>
      <c r="H59" s="3">
        <f t="shared" si="3"/>
        <v>128.07248868017768</v>
      </c>
      <c r="I59" s="3">
        <f t="shared" si="4"/>
        <v>16402.562356734241</v>
      </c>
      <c r="J59" s="3">
        <f t="shared" si="5"/>
        <v>0.10814010460025812</v>
      </c>
      <c r="K59" s="1"/>
      <c r="L59" s="1"/>
    </row>
    <row r="60" spans="1:12" x14ac:dyDescent="0.25">
      <c r="A60" s="1"/>
      <c r="B60" s="3">
        <v>2025</v>
      </c>
      <c r="C60" s="3" t="s">
        <v>11</v>
      </c>
      <c r="D60" s="3">
        <v>1117.8900000000001</v>
      </c>
      <c r="E60" s="3">
        <f t="shared" si="0"/>
        <v>1107.9467086365994</v>
      </c>
      <c r="F60" s="3">
        <f t="shared" si="1"/>
        <v>1102.3536072446864</v>
      </c>
      <c r="G60" s="3">
        <f t="shared" si="2"/>
        <v>15.536392755313727</v>
      </c>
      <c r="H60" s="3">
        <f t="shared" si="3"/>
        <v>15.536392755313727</v>
      </c>
      <c r="I60" s="3">
        <f t="shared" si="4"/>
        <v>241.37949984736488</v>
      </c>
      <c r="J60" s="3">
        <f t="shared" si="5"/>
        <v>1.3897962013537759E-2</v>
      </c>
      <c r="K60" s="1"/>
      <c r="L60" s="1"/>
    </row>
    <row r="61" spans="1:12" x14ac:dyDescent="0.25">
      <c r="A61" s="1"/>
      <c r="B61" s="3">
        <v>2025</v>
      </c>
      <c r="C61" s="3" t="s">
        <v>12</v>
      </c>
      <c r="D61" s="3">
        <v>969.68</v>
      </c>
      <c r="E61" s="3">
        <f t="shared" si="0"/>
        <v>1058.1706935274237</v>
      </c>
      <c r="F61" s="3">
        <f t="shared" si="1"/>
        <v>1107.9467086365994</v>
      </c>
      <c r="G61" s="3">
        <f t="shared" si="2"/>
        <v>-138.26670863659945</v>
      </c>
      <c r="H61" s="3">
        <f t="shared" si="3"/>
        <v>138.26670863659945</v>
      </c>
      <c r="I61" s="3">
        <f t="shared" si="4"/>
        <v>19117.682717198284</v>
      </c>
      <c r="J61" s="3">
        <f t="shared" si="5"/>
        <v>0.14259003860716882</v>
      </c>
      <c r="K61" s="1"/>
      <c r="L61" s="1"/>
    </row>
    <row r="62" spans="1:12" x14ac:dyDescent="0.25">
      <c r="A62" s="1"/>
      <c r="B62" s="3">
        <v>2025</v>
      </c>
      <c r="C62" s="3" t="s">
        <v>13</v>
      </c>
      <c r="D62" s="3">
        <v>1031.3399999999999</v>
      </c>
      <c r="E62" s="3">
        <f t="shared" si="0"/>
        <v>1048.511643857551</v>
      </c>
      <c r="F62" s="3">
        <f t="shared" si="1"/>
        <v>1058.1706935274237</v>
      </c>
      <c r="G62" s="3">
        <f t="shared" si="2"/>
        <v>-26.830693527423819</v>
      </c>
      <c r="H62" s="3">
        <f t="shared" si="3"/>
        <v>26.830693527423819</v>
      </c>
      <c r="I62" s="3">
        <f t="shared" si="4"/>
        <v>719.88611516254241</v>
      </c>
      <c r="J62" s="3">
        <f t="shared" si="5"/>
        <v>2.6015371775965076E-2</v>
      </c>
      <c r="K62" s="1"/>
      <c r="L62" s="1"/>
    </row>
    <row r="63" spans="1:12" x14ac:dyDescent="0.25">
      <c r="A63" s="1"/>
      <c r="B63" s="3">
        <v>2025</v>
      </c>
      <c r="C63" s="3" t="s">
        <v>14</v>
      </c>
      <c r="D63" s="3">
        <v>1273.54</v>
      </c>
      <c r="E63" s="3">
        <f t="shared" si="0"/>
        <v>1129.5218520688327</v>
      </c>
      <c r="F63" s="3">
        <f t="shared" si="1"/>
        <v>1048.511643857551</v>
      </c>
      <c r="G63" s="3">
        <f t="shared" si="2"/>
        <v>225.02835614244896</v>
      </c>
      <c r="H63" s="3">
        <f t="shared" si="3"/>
        <v>225.02835614244896</v>
      </c>
      <c r="I63" s="3">
        <f t="shared" si="4"/>
        <v>50637.761068172847</v>
      </c>
      <c r="J63" s="3">
        <f t="shared" si="5"/>
        <v>0.17669516163014037</v>
      </c>
      <c r="K63" s="1"/>
      <c r="L63" s="1"/>
    </row>
    <row r="64" spans="1:12" x14ac:dyDescent="0.25">
      <c r="A64" s="1"/>
      <c r="B64" s="3">
        <v>2026</v>
      </c>
      <c r="C64" s="6" t="s">
        <v>3</v>
      </c>
      <c r="D64" s="4"/>
      <c r="E64" s="4"/>
      <c r="F64" s="6">
        <f>$E$63</f>
        <v>1129.5218520688327</v>
      </c>
      <c r="G64" s="4"/>
      <c r="H64" s="4"/>
      <c r="I64" s="4"/>
      <c r="J64" s="4"/>
      <c r="K64" s="1"/>
      <c r="L64" s="1"/>
    </row>
    <row r="65" spans="1:12" x14ac:dyDescent="0.25">
      <c r="A65" s="1"/>
      <c r="B65" s="3">
        <v>2026</v>
      </c>
      <c r="C65" s="3" t="s">
        <v>4</v>
      </c>
      <c r="D65" s="4"/>
      <c r="E65" s="4"/>
      <c r="F65" s="3">
        <f t="shared" ref="F65:F69" si="6">$E$63</f>
        <v>1129.5218520688327</v>
      </c>
      <c r="G65" s="4"/>
      <c r="H65" s="4"/>
      <c r="I65" s="4"/>
      <c r="J65" s="4"/>
      <c r="K65" s="1"/>
      <c r="L65" s="1"/>
    </row>
    <row r="66" spans="1:12" x14ac:dyDescent="0.25">
      <c r="A66" s="1"/>
      <c r="B66" s="3">
        <v>2026</v>
      </c>
      <c r="C66" s="3" t="s">
        <v>5</v>
      </c>
      <c r="D66" s="4"/>
      <c r="E66" s="4"/>
      <c r="F66" s="3">
        <f t="shared" si="6"/>
        <v>1129.5218520688327</v>
      </c>
      <c r="G66" s="4"/>
      <c r="H66" s="4"/>
      <c r="I66" s="4"/>
      <c r="J66" s="4"/>
      <c r="K66" s="1"/>
      <c r="L66" s="1"/>
    </row>
    <row r="67" spans="1:12" x14ac:dyDescent="0.25">
      <c r="A67" s="1"/>
      <c r="B67" s="3">
        <v>2026</v>
      </c>
      <c r="C67" s="3" t="s">
        <v>6</v>
      </c>
      <c r="D67" s="4"/>
      <c r="E67" s="4"/>
      <c r="F67" s="3">
        <f t="shared" si="6"/>
        <v>1129.5218520688327</v>
      </c>
      <c r="G67" s="4"/>
      <c r="H67" s="4"/>
      <c r="I67" s="4"/>
      <c r="J67" s="4"/>
      <c r="K67" s="1"/>
      <c r="L67" s="1"/>
    </row>
    <row r="68" spans="1:12" x14ac:dyDescent="0.25">
      <c r="A68" s="1"/>
      <c r="B68" s="3">
        <v>2026</v>
      </c>
      <c r="C68" s="3" t="s">
        <v>7</v>
      </c>
      <c r="D68" s="4"/>
      <c r="E68" s="4"/>
      <c r="F68" s="3">
        <f t="shared" si="6"/>
        <v>1129.5218520688327</v>
      </c>
      <c r="G68" s="4"/>
      <c r="H68" s="4"/>
      <c r="I68" s="4"/>
      <c r="J68" s="4"/>
      <c r="K68" s="1"/>
      <c r="L68" s="1"/>
    </row>
    <row r="69" spans="1:12" x14ac:dyDescent="0.25">
      <c r="A69" s="1"/>
      <c r="B69" s="3">
        <v>2026</v>
      </c>
      <c r="C69" s="3" t="s">
        <v>8</v>
      </c>
      <c r="D69" s="4"/>
      <c r="E69" s="4"/>
      <c r="F69" s="3">
        <f t="shared" si="6"/>
        <v>1129.5218520688327</v>
      </c>
      <c r="G69" s="4"/>
      <c r="H69" s="4"/>
      <c r="I69" s="4"/>
      <c r="J69" s="4"/>
      <c r="K69" s="1"/>
      <c r="L69" s="1"/>
    </row>
    <row r="70" spans="1:1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1"/>
      <c r="D71" s="1"/>
      <c r="E71" s="1"/>
      <c r="F71" s="1"/>
      <c r="G71" s="1"/>
      <c r="H71" s="9" t="s">
        <v>24</v>
      </c>
      <c r="I71" s="7">
        <f>AVERAGE(I5:I63)</f>
        <v>10773.180436645498</v>
      </c>
      <c r="J71" s="1"/>
      <c r="K71" s="1"/>
      <c r="L71" s="1"/>
    </row>
    <row r="72" spans="1:12" x14ac:dyDescent="0.25">
      <c r="A72" s="1"/>
      <c r="B72" s="1"/>
      <c r="C72" s="1"/>
      <c r="D72" s="1"/>
      <c r="E72" s="1"/>
      <c r="F72" s="1"/>
      <c r="G72" s="1"/>
      <c r="H72" s="9" t="s">
        <v>23</v>
      </c>
      <c r="I72" s="7">
        <f>AVERAGE(J5:J63)</f>
        <v>0.11015960734294221</v>
      </c>
      <c r="J72" s="1"/>
      <c r="K72" s="1"/>
      <c r="L72" s="1"/>
    </row>
    <row r="73" spans="1:1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 1</vt:lpstr>
      <vt:lpstr>SOAL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srilintang</dc:creator>
  <cp:lastModifiedBy>muhamad srilintang</cp:lastModifiedBy>
  <dcterms:created xsi:type="dcterms:W3CDTF">2026-03-27T07:03:15Z</dcterms:created>
  <dcterms:modified xsi:type="dcterms:W3CDTF">2026-03-27T08:44:18Z</dcterms:modified>
</cp:coreProperties>
</file>